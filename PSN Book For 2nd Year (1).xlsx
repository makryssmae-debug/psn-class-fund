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992" documentId="11_159DE8F42C2749198B35183F646215B8E81C50F8" xr6:coauthVersionLast="47" xr6:coauthVersionMax="47" xr10:uidLastSave="{2DA98D81-5482-4099-A3A6-93B3522595EA}"/>
  <bookViews>
    <workbookView xWindow="0" yWindow="0" windowWidth="16384" windowHeight="8192" tabRatio="500" firstSheet="2" activeTab="2" xr2:uid="{00000000-000D-0000-FFFF-FFFF00000000}"/>
  </bookViews>
  <sheets>
    <sheet name="Class List" sheetId="1" r:id="rId1"/>
    <sheet name="Balance Sheet" sheetId="2" r:id="rId2"/>
    <sheet name="Events" sheetId="3" r:id="rId3"/>
    <sheet name="Event Balance Sheet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4" l="1"/>
  <c r="E18" i="2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A2" i="1"/>
  <c r="AZ2" i="1"/>
  <c r="AR2" i="1"/>
  <c r="AS2" i="1"/>
  <c r="AT2" i="1"/>
  <c r="AU2" i="1"/>
  <c r="AV2" i="1"/>
  <c r="AW2" i="1"/>
  <c r="AX2" i="1"/>
  <c r="AY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C44" i="3"/>
  <c r="D44" i="3"/>
  <c r="E44" i="3"/>
  <c r="B44" i="3"/>
  <c r="C3" i="2" a="1"/>
  <c r="C3" i="2"/>
  <c r="C4" i="2" a="1"/>
  <c r="C4" i="2"/>
  <c r="C5" i="2" a="1"/>
  <c r="C5" i="2"/>
  <c r="C6" i="2" a="1"/>
  <c r="C6" i="2"/>
  <c r="C7" i="2" a="1"/>
  <c r="C7" i="2"/>
  <c r="C8" i="2" a="1"/>
  <c r="C8" i="2"/>
  <c r="C9" i="2" a="1"/>
  <c r="C9" i="2"/>
  <c r="C10" i="2" a="1"/>
  <c r="C10" i="2"/>
  <c r="C11" i="2" a="1"/>
  <c r="C11" i="2"/>
  <c r="C12" i="2" a="1"/>
  <c r="C12" i="2"/>
  <c r="C13" i="2" a="1"/>
  <c r="C13" i="2"/>
  <c r="C2" i="2" a="1"/>
  <c r="C2" i="2"/>
  <c r="B44" i="1"/>
  <c r="C15" i="2" a="1"/>
  <c r="C15" i="2"/>
  <c r="D15" i="2" s="1"/>
  <c r="C16" i="2" a="1"/>
  <c r="C16" i="2"/>
  <c r="D16" i="2" s="1"/>
  <c r="C14" i="2" a="1"/>
  <c r="C14" i="2"/>
  <c r="B4" i="4"/>
  <c r="A2" i="4"/>
  <c r="B11" i="4"/>
  <c r="B10" i="4"/>
  <c r="B9" i="4"/>
  <c r="B8" i="4"/>
  <c r="B7" i="4"/>
  <c r="B6" i="4"/>
  <c r="B5" i="4"/>
  <c r="B3" i="4"/>
  <c r="D3" i="4" s="1"/>
  <c r="A11" i="4"/>
  <c r="E11" i="4" s="1"/>
  <c r="A10" i="4"/>
  <c r="E10" i="4" s="1"/>
  <c r="A9" i="4"/>
  <c r="E9" i="4" s="1"/>
  <c r="A8" i="4"/>
  <c r="E8" i="4" s="1"/>
  <c r="A7" i="4"/>
  <c r="E7" i="4" s="1"/>
  <c r="A6" i="4"/>
  <c r="A5" i="4"/>
  <c r="A4" i="4"/>
  <c r="A3" i="4"/>
  <c r="B2" i="4"/>
  <c r="D11" i="4"/>
  <c r="D10" i="4"/>
  <c r="D9" i="4"/>
  <c r="D8" i="4"/>
  <c r="D7" i="4"/>
  <c r="D6" i="4"/>
  <c r="D5" i="4"/>
  <c r="D4" i="4"/>
  <c r="D2" i="4"/>
  <c r="K44" i="3"/>
  <c r="C11" i="4" s="1"/>
  <c r="J44" i="3"/>
  <c r="C10" i="4" s="1"/>
  <c r="I44" i="3"/>
  <c r="C9" i="4" s="1"/>
  <c r="H44" i="3"/>
  <c r="C8" i="4" s="1"/>
  <c r="G44" i="3"/>
  <c r="C7" i="4" s="1"/>
  <c r="F44" i="3"/>
  <c r="C6" i="4" s="1"/>
  <c r="C5" i="4"/>
  <c r="C4" i="4"/>
  <c r="C3" i="4"/>
  <c r="C2" i="4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B3" i="2" l="1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2" i="2" a="1"/>
  <c r="B2" i="2" s="1"/>
  <c r="E2" i="4"/>
  <c r="E3" i="4" s="1"/>
  <c r="D8" i="2"/>
  <c r="D9" i="2"/>
  <c r="D10" i="2"/>
  <c r="D11" i="2"/>
  <c r="D12" i="2"/>
  <c r="D13" i="2"/>
  <c r="D2" i="2"/>
  <c r="D3" i="2" s="1"/>
  <c r="D4" i="2" s="1"/>
  <c r="D5" i="2" s="1"/>
  <c r="D6" i="2" s="1"/>
  <c r="D7" i="2" s="1"/>
  <c r="E4" i="4" l="1"/>
  <c r="E5" i="4" l="1"/>
  <c r="E6" i="4" s="1"/>
  <c r="B45" i="3"/>
  <c r="D14" i="2" l="1"/>
  <c r="B4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<sst xmlns="http://schemas.openxmlformats.org/spreadsheetml/2006/main" count="147" uniqueCount="81">
  <si>
    <t>Name</t>
  </si>
  <si>
    <t>Date</t>
  </si>
  <si>
    <r>
      <rPr>
        <b/>
        <sz val="13"/>
        <color rgb="FF000000"/>
        <rFont val="Calibri"/>
        <scheme val="minor"/>
      </rPr>
      <t>Abing</t>
    </r>
    <r>
      <rPr>
        <sz val="11"/>
        <color rgb="FF000000"/>
        <rFont val="Calibri"/>
        <scheme val="minor"/>
      </rPr>
      <t>, Jular</t>
    </r>
  </si>
  <si>
    <r>
      <rPr>
        <b/>
        <sz val="13"/>
        <color rgb="FF000000"/>
        <rFont val="Calibri"/>
        <scheme val="minor"/>
      </rPr>
      <t>Ambid</t>
    </r>
    <r>
      <rPr>
        <sz val="11"/>
        <color rgb="FF000000"/>
        <rFont val="Calibri"/>
        <scheme val="minor"/>
      </rPr>
      <t>, Marilyn</t>
    </r>
  </si>
  <si>
    <r>
      <rPr>
        <b/>
        <sz val="13"/>
        <color rgb="FF000000"/>
        <rFont val="Calibri"/>
        <scheme val="minor"/>
      </rPr>
      <t>Antipolo</t>
    </r>
    <r>
      <rPr>
        <sz val="11"/>
        <color rgb="FF000000"/>
        <rFont val="Calibri"/>
        <scheme val="minor"/>
      </rPr>
      <t>, Jovelyn</t>
    </r>
  </si>
  <si>
    <r>
      <rPr>
        <b/>
        <sz val="13"/>
        <color rgb="FF000000"/>
        <rFont val="Calibri"/>
        <scheme val="minor"/>
      </rPr>
      <t>Arabit</t>
    </r>
    <r>
      <rPr>
        <sz val="11"/>
        <color rgb="FF000000"/>
        <rFont val="Calibri"/>
        <scheme val="minor"/>
      </rPr>
      <t>, Jarizel</t>
    </r>
  </si>
  <si>
    <r>
      <rPr>
        <b/>
        <sz val="13"/>
        <color rgb="FF000000"/>
        <rFont val="Calibri"/>
        <scheme val="minor"/>
      </rPr>
      <t>Barzaga</t>
    </r>
    <r>
      <rPr>
        <sz val="11"/>
        <color rgb="FF000000"/>
        <rFont val="Calibri"/>
        <scheme val="minor"/>
      </rPr>
      <t>, Maria Dolores</t>
    </r>
  </si>
  <si>
    <r>
      <rPr>
        <b/>
        <sz val="13"/>
        <color rgb="FF000000"/>
        <rFont val="Calibri"/>
        <scheme val="minor"/>
      </rPr>
      <t>Batabat</t>
    </r>
    <r>
      <rPr>
        <sz val="11"/>
        <color rgb="FF000000"/>
        <rFont val="Calibri"/>
        <scheme val="minor"/>
      </rPr>
      <t xml:space="preserve">, Patricia Marianne </t>
    </r>
  </si>
  <si>
    <r>
      <rPr>
        <b/>
        <sz val="13"/>
        <color rgb="FF000000"/>
        <rFont val="Calibri"/>
        <scheme val="minor"/>
      </rPr>
      <t>Beato</t>
    </r>
    <r>
      <rPr>
        <sz val="11"/>
        <color rgb="FF000000"/>
        <rFont val="Calibri"/>
        <scheme val="minor"/>
      </rPr>
      <t>, Jhean Mirabel </t>
    </r>
  </si>
  <si>
    <r>
      <rPr>
        <b/>
        <sz val="13"/>
        <color rgb="FF000000"/>
        <rFont val="Calibri"/>
        <scheme val="minor"/>
      </rPr>
      <t>Brucal</t>
    </r>
    <r>
      <rPr>
        <sz val="11"/>
        <color rgb="FF000000"/>
        <rFont val="Calibri"/>
        <scheme val="minor"/>
      </rPr>
      <t>, Charmaine</t>
    </r>
  </si>
  <si>
    <r>
      <rPr>
        <b/>
        <sz val="13"/>
        <color rgb="FF000000"/>
        <rFont val="Calibri"/>
        <scheme val="minor"/>
      </rPr>
      <t>Caballero</t>
    </r>
    <r>
      <rPr>
        <sz val="11"/>
        <color rgb="FF000000"/>
        <rFont val="Calibri"/>
        <scheme val="minor"/>
      </rPr>
      <t>, Ma. Kryss Mae</t>
    </r>
  </si>
  <si>
    <r>
      <rPr>
        <b/>
        <sz val="13"/>
        <color rgb="FF000000"/>
        <rFont val="Calibri"/>
        <scheme val="minor"/>
      </rPr>
      <t>Cielo</t>
    </r>
    <r>
      <rPr>
        <sz val="11"/>
        <color rgb="FF000000"/>
        <rFont val="Calibri"/>
        <scheme val="minor"/>
      </rPr>
      <t>, Cristina</t>
    </r>
  </si>
  <si>
    <r>
      <rPr>
        <b/>
        <sz val="13"/>
        <color rgb="FF000000"/>
        <rFont val="Calibri"/>
        <scheme val="minor"/>
      </rPr>
      <t>Clarito</t>
    </r>
    <r>
      <rPr>
        <sz val="11"/>
        <color rgb="FF000000"/>
        <rFont val="Calibri"/>
        <scheme val="minor"/>
      </rPr>
      <t>, Lee Andrei</t>
    </r>
  </si>
  <si>
    <r>
      <rPr>
        <b/>
        <sz val="13"/>
        <color rgb="FF000000"/>
        <rFont val="Calibri"/>
        <scheme val="minor"/>
      </rPr>
      <t>Corpuz</t>
    </r>
    <r>
      <rPr>
        <sz val="11"/>
        <color rgb="FF000000"/>
        <rFont val="Calibri"/>
        <scheme val="minor"/>
      </rPr>
      <t>, Shiela May</t>
    </r>
  </si>
  <si>
    <r>
      <rPr>
        <b/>
        <sz val="13"/>
        <color rgb="FF000000"/>
        <rFont val="Calibri"/>
        <scheme val="minor"/>
      </rPr>
      <t>Dela Cruz,</t>
    </r>
    <r>
      <rPr>
        <sz val="11"/>
        <color rgb="FF000000"/>
        <rFont val="Calibri"/>
        <scheme val="minor"/>
      </rPr>
      <t xml:space="preserve"> Roslyn</t>
    </r>
  </si>
  <si>
    <r>
      <rPr>
        <b/>
        <sz val="13"/>
        <color rgb="FF000000"/>
        <rFont val="Calibri"/>
        <scheme val="minor"/>
      </rPr>
      <t>Diogracias</t>
    </r>
    <r>
      <rPr>
        <sz val="11"/>
        <color rgb="FF000000"/>
        <rFont val="Calibri"/>
        <scheme val="minor"/>
      </rPr>
      <t>, Irene Negrido </t>
    </r>
  </si>
  <si>
    <r>
      <rPr>
        <b/>
        <sz val="13"/>
        <color rgb="FF000000"/>
        <rFont val="Calibri"/>
        <scheme val="minor"/>
      </rPr>
      <t>Espeña</t>
    </r>
    <r>
      <rPr>
        <sz val="11"/>
        <color rgb="FF000000"/>
        <rFont val="Calibri"/>
        <scheme val="minor"/>
      </rPr>
      <t>, Mailyn Grace</t>
    </r>
  </si>
  <si>
    <r>
      <rPr>
        <b/>
        <sz val="13"/>
        <color rgb="FF000000"/>
        <rFont val="Calibri"/>
        <scheme val="minor"/>
      </rPr>
      <t>Espinosa</t>
    </r>
    <r>
      <rPr>
        <sz val="11"/>
        <color rgb="FF000000"/>
        <rFont val="Calibri"/>
        <scheme val="minor"/>
      </rPr>
      <t>, Romeo JR.</t>
    </r>
  </si>
  <si>
    <r>
      <rPr>
        <b/>
        <sz val="13"/>
        <color rgb="FF000000"/>
        <rFont val="Calibri"/>
        <scheme val="minor"/>
      </rPr>
      <t>Faller</t>
    </r>
    <r>
      <rPr>
        <sz val="11"/>
        <color rgb="FF000000"/>
        <rFont val="Calibri"/>
        <scheme val="minor"/>
      </rPr>
      <t>, Chermelyn</t>
    </r>
  </si>
  <si>
    <r>
      <rPr>
        <b/>
        <sz val="13"/>
        <color rgb="FF000000"/>
        <rFont val="Calibri"/>
        <scheme val="minor"/>
      </rPr>
      <t>Gabelo</t>
    </r>
    <r>
      <rPr>
        <sz val="11"/>
        <color rgb="FF000000"/>
        <rFont val="Calibri"/>
        <scheme val="minor"/>
      </rPr>
      <t xml:space="preserve">, Dominic </t>
    </r>
  </si>
  <si>
    <r>
      <rPr>
        <b/>
        <sz val="13"/>
        <color rgb="FF000000"/>
        <rFont val="Calibri"/>
        <scheme val="minor"/>
      </rPr>
      <t>Ganaden</t>
    </r>
    <r>
      <rPr>
        <sz val="11"/>
        <color rgb="FF000000"/>
        <rFont val="Calibri"/>
        <scheme val="minor"/>
      </rPr>
      <t>, Daisy Lyn</t>
    </r>
  </si>
  <si>
    <r>
      <rPr>
        <b/>
        <sz val="13"/>
        <color rgb="FF000000"/>
        <rFont val="Calibri"/>
        <scheme val="minor"/>
      </rPr>
      <t>Genovia</t>
    </r>
    <r>
      <rPr>
        <sz val="11"/>
        <color rgb="FF000000"/>
        <rFont val="Calibri"/>
        <scheme val="minor"/>
      </rPr>
      <t>, Ma. Ybony Angel</t>
    </r>
  </si>
  <si>
    <r>
      <rPr>
        <b/>
        <sz val="13"/>
        <color rgb="FF000000"/>
        <rFont val="Calibri"/>
        <scheme val="minor"/>
      </rPr>
      <t>Grefiel</t>
    </r>
    <r>
      <rPr>
        <sz val="11"/>
        <color rgb="FF000000"/>
        <rFont val="Calibri"/>
        <scheme val="minor"/>
      </rPr>
      <t>, Princess Lou-ann Pauline</t>
    </r>
  </si>
  <si>
    <r>
      <rPr>
        <b/>
        <sz val="13"/>
        <color rgb="FF000000"/>
        <rFont val="Calibri"/>
        <scheme val="minor"/>
      </rPr>
      <t>Ignacio</t>
    </r>
    <r>
      <rPr>
        <sz val="11"/>
        <color rgb="FF000000"/>
        <rFont val="Calibri"/>
        <scheme val="minor"/>
      </rPr>
      <t>, Ver Nikolai RB</t>
    </r>
  </si>
  <si>
    <r>
      <rPr>
        <b/>
        <sz val="13"/>
        <color rgb="FF000000"/>
        <rFont val="Calibri"/>
        <scheme val="minor"/>
      </rPr>
      <t>Jaya</t>
    </r>
    <r>
      <rPr>
        <sz val="11"/>
        <color rgb="FF000000"/>
        <rFont val="Calibri"/>
        <scheme val="minor"/>
      </rPr>
      <t>, Maria Jhienyrah</t>
    </r>
  </si>
  <si>
    <r>
      <rPr>
        <b/>
        <sz val="13"/>
        <color rgb="FF000000"/>
        <rFont val="Calibri"/>
        <scheme val="minor"/>
      </rPr>
      <t>Jones</t>
    </r>
    <r>
      <rPr>
        <sz val="11"/>
        <color rgb="FF000000"/>
        <rFont val="Calibri"/>
        <scheme val="minor"/>
      </rPr>
      <t>, Mary Grace</t>
    </r>
  </si>
  <si>
    <r>
      <rPr>
        <b/>
        <sz val="13"/>
        <color rgb="FF000000"/>
        <rFont val="Calibri"/>
        <scheme val="minor"/>
      </rPr>
      <t>Lesanque</t>
    </r>
    <r>
      <rPr>
        <sz val="11"/>
        <color rgb="FF000000"/>
        <rFont val="Calibri"/>
        <scheme val="minor"/>
      </rPr>
      <t>, Danica Mai </t>
    </r>
  </si>
  <si>
    <r>
      <rPr>
        <b/>
        <sz val="13"/>
        <color rgb="FF000000"/>
        <rFont val="Calibri"/>
        <scheme val="minor"/>
      </rPr>
      <t>Mangiam</t>
    </r>
    <r>
      <rPr>
        <sz val="11"/>
        <color rgb="FF000000"/>
        <rFont val="Calibri"/>
        <scheme val="minor"/>
      </rPr>
      <t>, Jan France Sarah </t>
    </r>
  </si>
  <si>
    <r>
      <rPr>
        <b/>
        <sz val="13"/>
        <color rgb="FF000000"/>
        <rFont val="Calibri"/>
        <scheme val="minor"/>
      </rPr>
      <t>Masicampo</t>
    </r>
    <r>
      <rPr>
        <sz val="11"/>
        <color rgb="FF000000"/>
        <rFont val="Calibri"/>
        <scheme val="minor"/>
      </rPr>
      <t xml:space="preserve">, Joselito JR </t>
    </r>
  </si>
  <si>
    <r>
      <rPr>
        <b/>
        <sz val="13"/>
        <color rgb="FF000000"/>
        <rFont val="Calibri"/>
        <scheme val="minor"/>
      </rPr>
      <t>Mendiola</t>
    </r>
    <r>
      <rPr>
        <sz val="11"/>
        <color rgb="FF000000"/>
        <rFont val="Calibri"/>
        <scheme val="minor"/>
      </rPr>
      <t>, Romar</t>
    </r>
  </si>
  <si>
    <r>
      <rPr>
        <b/>
        <sz val="13"/>
        <color rgb="FF000000"/>
        <rFont val="Calibri"/>
        <scheme val="minor"/>
      </rPr>
      <t>Navarro</t>
    </r>
    <r>
      <rPr>
        <sz val="11"/>
        <color rgb="FF000000"/>
        <rFont val="Calibri"/>
        <scheme val="minor"/>
      </rPr>
      <t>, Nerie Ann</t>
    </r>
  </si>
  <si>
    <r>
      <rPr>
        <b/>
        <sz val="13"/>
        <color rgb="FF000000"/>
        <rFont val="Calibri"/>
        <scheme val="minor"/>
      </rPr>
      <t>Nazareno</t>
    </r>
    <r>
      <rPr>
        <sz val="11"/>
        <color rgb="FF000000"/>
        <rFont val="Calibri"/>
        <scheme val="minor"/>
      </rPr>
      <t>, Cejhay</t>
    </r>
  </si>
  <si>
    <r>
      <rPr>
        <b/>
        <sz val="13"/>
        <color rgb="FF000000"/>
        <rFont val="Calibri"/>
        <scheme val="minor"/>
      </rPr>
      <t>Olidor</t>
    </r>
    <r>
      <rPr>
        <sz val="11"/>
        <color rgb="FF000000"/>
        <rFont val="Calibri"/>
        <scheme val="minor"/>
      </rPr>
      <t>, Rose Ann</t>
    </r>
  </si>
  <si>
    <r>
      <rPr>
        <b/>
        <sz val="13"/>
        <color rgb="FF000000"/>
        <rFont val="Calibri"/>
        <scheme val="minor"/>
      </rPr>
      <t>Padrigano</t>
    </r>
    <r>
      <rPr>
        <sz val="11"/>
        <color rgb="FF000000"/>
        <rFont val="Calibri"/>
        <scheme val="minor"/>
      </rPr>
      <t>, Maria Cierene</t>
    </r>
  </si>
  <si>
    <r>
      <rPr>
        <b/>
        <sz val="13"/>
        <color rgb="FF000000"/>
        <rFont val="Calibri"/>
        <scheme val="minor"/>
      </rPr>
      <t>Paredes</t>
    </r>
    <r>
      <rPr>
        <sz val="11"/>
        <color rgb="FF000000"/>
        <rFont val="Calibri"/>
        <scheme val="minor"/>
      </rPr>
      <t>, Brian</t>
    </r>
  </si>
  <si>
    <r>
      <rPr>
        <b/>
        <sz val="13"/>
        <color rgb="FF000000"/>
        <rFont val="Calibri"/>
        <scheme val="minor"/>
      </rPr>
      <t>Rapol</t>
    </r>
    <r>
      <rPr>
        <sz val="11"/>
        <color rgb="FF000000"/>
        <rFont val="Calibri"/>
        <scheme val="minor"/>
      </rPr>
      <t>, Leanne Kim</t>
    </r>
  </si>
  <si>
    <r>
      <rPr>
        <b/>
        <sz val="13"/>
        <color rgb="FF000000"/>
        <rFont val="Calibri"/>
        <scheme val="minor"/>
      </rPr>
      <t>Reyes</t>
    </r>
    <r>
      <rPr>
        <sz val="11"/>
        <color rgb="FF000000"/>
        <rFont val="Calibri"/>
        <scheme val="minor"/>
      </rPr>
      <t>, Angelica</t>
    </r>
  </si>
  <si>
    <r>
      <rPr>
        <b/>
        <sz val="13"/>
        <color rgb="FF000000"/>
        <rFont val="Calibri"/>
        <scheme val="minor"/>
      </rPr>
      <t>Rioveros</t>
    </r>
    <r>
      <rPr>
        <sz val="11"/>
        <color rgb="FF000000"/>
        <rFont val="Calibri"/>
        <scheme val="minor"/>
      </rPr>
      <t>, Christine</t>
    </r>
  </si>
  <si>
    <r>
      <rPr>
        <b/>
        <sz val="13"/>
        <color rgb="FF000000"/>
        <rFont val="Calibri"/>
        <scheme val="minor"/>
      </rPr>
      <t>Samonte</t>
    </r>
    <r>
      <rPr>
        <sz val="11"/>
        <color rgb="FF000000"/>
        <rFont val="Calibri"/>
        <scheme val="minor"/>
      </rPr>
      <t>, Roshan</t>
    </r>
  </si>
  <si>
    <r>
      <rPr>
        <b/>
        <sz val="13"/>
        <color rgb="FF000000"/>
        <rFont val="Calibri"/>
        <scheme val="minor"/>
      </rPr>
      <t>Siervo</t>
    </r>
    <r>
      <rPr>
        <sz val="11"/>
        <color rgb="FF000000"/>
        <rFont val="Calibri"/>
        <scheme val="minor"/>
      </rPr>
      <t>, Ashley Shereel</t>
    </r>
  </si>
  <si>
    <r>
      <rPr>
        <b/>
        <sz val="13"/>
        <color rgb="FF000000"/>
        <rFont val="Calibri"/>
        <scheme val="minor"/>
      </rPr>
      <t>Tuscano</t>
    </r>
    <r>
      <rPr>
        <sz val="11"/>
        <color rgb="FF000000"/>
        <rFont val="Calibri"/>
        <scheme val="minor"/>
      </rPr>
      <t>, Rica</t>
    </r>
  </si>
  <si>
    <r>
      <rPr>
        <b/>
        <sz val="13"/>
        <color rgb="FF000000"/>
        <rFont val="Calibri"/>
        <scheme val="minor"/>
      </rPr>
      <t>Villegas</t>
    </r>
    <r>
      <rPr>
        <sz val="11"/>
        <color rgb="FF000000"/>
        <rFont val="Calibri"/>
        <scheme val="minor"/>
      </rPr>
      <t>, Renzo Jay</t>
    </r>
  </si>
  <si>
    <t xml:space="preserve"> Fund turnover &amp; others</t>
  </si>
  <si>
    <t>Total</t>
  </si>
  <si>
    <t>Grand Total</t>
  </si>
  <si>
    <t>Funds</t>
  </si>
  <si>
    <t>Expenses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</si>
  <si>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</si>
  <si>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</si>
  <si>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</si>
  <si>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</si>
  <si>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</si>
  <si>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</si>
  <si>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</si>
  <si>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</si>
  <si>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</si>
  <si>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</si>
  <si>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</si>
  <si>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</si>
  <si>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EXPENSE LOG</t>
  </si>
  <si>
    <t>No.</t>
  </si>
  <si>
    <t>Description</t>
  </si>
  <si>
    <t>Date Incurred</t>
  </si>
  <si>
    <t>Amount</t>
  </si>
  <si>
    <t>Receipts</t>
  </si>
  <si>
    <t>Cake</t>
  </si>
  <si>
    <t>Snack Prof (PSN21)</t>
  </si>
  <si>
    <t>Snack Prof (PSN11)</t>
  </si>
  <si>
    <t>2 Polo Shirt Prof</t>
  </si>
  <si>
    <t>PSPO</t>
  </si>
  <si>
    <t>General Assembly</t>
  </si>
  <si>
    <t>Prof Polo</t>
  </si>
  <si>
    <t>Polo Shirts</t>
  </si>
  <si>
    <t>Token (CLAC)</t>
  </si>
  <si>
    <t>Others</t>
  </si>
  <si>
    <t>Event</t>
  </si>
  <si>
    <t>Food and Token</t>
  </si>
  <si>
    <t>Downpayment</t>
  </si>
  <si>
    <t>Polo for Prof</t>
  </si>
  <si>
    <t>Balance</t>
  </si>
  <si>
    <t>Students and Prof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</si>
</sst>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₱-464]#,##0.00;[Red][$₱-464]#,##0.00"/>
    <numFmt numFmtId="165" formatCode="[$-409]d\-mmm;@"/>
    <numFmt numFmtId="166" formatCode="[$₱-464]#,##0.00;[Red][$₱-464]#,##0.00;;"/>
    <numFmt numFmtId="167" formatCode="[Red][$₱-464]#,##0.00;[Red][$₱-464]#,##0.00;;"/>
    <numFmt numFmtId="168" formatCode="[$₱-464]#,##0.00"/>
    <numFmt numFmtId="169" formatCode="\₱#,##0.00;\-\₱#,##0.00"/>
    <numFmt numFmtId="170" formatCode="\ \ \ \₱#,##0.00;[Red]\(\₱#,##0.00\)"/>
  </numFmts>
  <fonts count="25">
    <font>
      <sz val="11"/>
      <color theme="1"/>
      <name val="Calibri"/>
      <family val="2"/>
      <charset val="1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charset val="1"/>
    </font>
    <font>
      <b/>
      <sz val="12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color rgb="FFFF0000"/>
      <name val="Calibri"/>
      <charset val="1"/>
    </font>
    <font>
      <b/>
      <sz val="9"/>
      <name val="Calibri"/>
      <charset val="1"/>
    </font>
    <font>
      <i/>
      <sz val="9"/>
      <name val="Calibri"/>
      <charset val="1"/>
    </font>
    <font>
      <b/>
      <sz val="18"/>
      <name val="Calibri"/>
      <charset val="1"/>
    </font>
    <font>
      <b/>
      <sz val="11"/>
      <color theme="1"/>
      <name val="Calibri"/>
      <scheme val="minor"/>
    </font>
    <font>
      <b/>
      <sz val="24"/>
      <color theme="1"/>
      <name val="Calibri"/>
      <scheme val="minor"/>
    </font>
    <font>
      <sz val="11"/>
      <color rgb="FF000000"/>
      <name val="Calibri"/>
      <scheme val="minor"/>
    </font>
    <font>
      <b/>
      <sz val="13"/>
      <color rgb="FF000000"/>
      <name val="Calibri"/>
      <scheme val="minor"/>
    </font>
    <font>
      <b/>
      <sz val="18"/>
      <color theme="1"/>
      <name val="Calibri"/>
      <scheme val="minor"/>
    </font>
    <font>
      <b/>
      <sz val="20"/>
      <name val="Calibri"/>
      <charset val="1"/>
    </font>
    <font>
      <b/>
      <sz val="11"/>
      <color rgb="FFFF0000"/>
      <name val="Calibri"/>
      <charset val="1"/>
    </font>
    <font>
      <b/>
      <i/>
      <sz val="9"/>
      <name val="Calibri"/>
      <charset val="1"/>
    </font>
    <font>
      <u/>
      <sz val="11"/>
      <color theme="10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z val="11"/>
      <color rgb="FF000000"/>
      <name val="Calibri"/>
      <scheme val="minor"/>
    </font>
    <font>
      <b/>
      <sz val="14"/>
      <name val="Calibri"/>
      <charset val="1"/>
    </font>
    <font>
      <b/>
      <i/>
      <sz val="11"/>
      <color theme="1"/>
      <name val="Calibri"/>
      <family val="2"/>
      <charset val="1"/>
    </font>
    <font>
      <b/>
      <sz val="14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22">
    <xf numFmtId="0" fontId="0" fillId="0" borderId="0" xfId="0"/>
    <xf numFmtId="0" fontId="3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2" fillId="0" borderId="0" xfId="0" applyFont="1"/>
    <xf numFmtId="165" fontId="2" fillId="0" borderId="0" xfId="0" applyNumberFormat="1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164" fontId="2" fillId="0" borderId="0" xfId="0" applyNumberFormat="1" applyFont="1"/>
    <xf numFmtId="164" fontId="1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8" fontId="0" fillId="0" borderId="6" xfId="0" applyNumberForma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167" fontId="17" fillId="0" borderId="4" xfId="0" applyNumberFormat="1" applyFont="1" applyBorder="1" applyAlignment="1">
      <alignment horizontal="center" vertical="center"/>
    </xf>
    <xf numFmtId="167" fontId="17" fillId="0" borderId="5" xfId="0" applyNumberFormat="1" applyFont="1" applyBorder="1" applyAlignment="1">
      <alignment horizontal="center" vertical="center"/>
    </xf>
    <xf numFmtId="0" fontId="19" fillId="0" borderId="0" xfId="1"/>
    <xf numFmtId="0" fontId="3" fillId="0" borderId="2" xfId="0" applyFont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7" fontId="17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67" fontId="17" fillId="0" borderId="12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3" fillId="0" borderId="8" xfId="0" applyFont="1" applyBorder="1" applyAlignment="1">
      <alignment horizontal="center" vertical="center" wrapText="1" readingOrder="1"/>
    </xf>
    <xf numFmtId="166" fontId="6" fillId="0" borderId="8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6" fontId="5" fillId="0" borderId="14" xfId="0" applyNumberFormat="1" applyFont="1" applyBorder="1" applyAlignment="1">
      <alignment horizontal="center" vertical="center"/>
    </xf>
    <xf numFmtId="166" fontId="5" fillId="0" borderId="15" xfId="0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 readingOrder="1"/>
    </xf>
    <xf numFmtId="166" fontId="6" fillId="2" borderId="8" xfId="0" applyNumberFormat="1" applyFont="1" applyFill="1" applyBorder="1" applyAlignment="1">
      <alignment horizontal="center" vertical="center"/>
    </xf>
    <xf numFmtId="166" fontId="6" fillId="2" borderId="11" xfId="0" applyNumberFormat="1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 readingOrder="1"/>
    </xf>
    <xf numFmtId="169" fontId="5" fillId="0" borderId="1" xfId="0" applyNumberFormat="1" applyFont="1" applyBorder="1" applyAlignment="1">
      <alignment horizontal="center"/>
    </xf>
    <xf numFmtId="169" fontId="22" fillId="0" borderId="8" xfId="0" quotePrefix="1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170" fontId="23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5" fontId="11" fillId="0" borderId="1" xfId="0" applyNumberFormat="1" applyFont="1" applyBorder="1" applyAlignment="1">
      <alignment vertical="center"/>
    </xf>
    <xf numFmtId="165" fontId="11" fillId="0" borderId="8" xfId="0" applyNumberFormat="1" applyFont="1" applyBorder="1" applyAlignment="1">
      <alignment vertical="center"/>
    </xf>
    <xf numFmtId="165" fontId="11" fillId="0" borderId="4" xfId="0" applyNumberFormat="1" applyFont="1" applyBorder="1" applyAlignment="1">
      <alignment vertical="center"/>
    </xf>
    <xf numFmtId="0" fontId="0" fillId="0" borderId="8" xfId="0" applyBorder="1" applyAlignment="1">
      <alignment horizontal="center"/>
    </xf>
    <xf numFmtId="16" fontId="0" fillId="0" borderId="8" xfId="0" applyNumberForma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167" fontId="7" fillId="0" borderId="19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7" fontId="17" fillId="0" borderId="3" xfId="0" applyNumberFormat="1" applyFont="1" applyBorder="1" applyAlignment="1">
      <alignment horizontal="center" vertical="center"/>
    </xf>
    <xf numFmtId="166" fontId="24" fillId="0" borderId="1" xfId="0" applyNumberFormat="1" applyFont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/>
    </xf>
    <xf numFmtId="0" fontId="19" fillId="0" borderId="0" xfId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6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164" fontId="1" fillId="0" borderId="1" xfId="0" applyNumberFormat="1" applyFont="1" applyBorder="1"/>
    <xf numFmtId="164" fontId="1" fillId="0" borderId="4" xfId="0" applyNumberFormat="1" applyFont="1" applyBorder="1"/>
    <xf numFmtId="0" fontId="1" fillId="0" borderId="8" xfId="0" applyFont="1" applyBorder="1"/>
    <xf numFmtId="0" fontId="1" fillId="0" borderId="0" xfId="0" applyFont="1"/>
    <xf numFmtId="165" fontId="1" fillId="0" borderId="0" xfId="0" applyNumberFormat="1" applyFont="1" applyAlignment="1">
      <alignment vertic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6" fontId="1" fillId="2" borderId="2" xfId="0" applyNumberFormat="1" applyFont="1" applyFill="1" applyBorder="1" applyAlignment="1">
      <alignment horizontal="center" vertical="center"/>
    </xf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your-link-he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5"/>
  <sheetViews>
    <sheetView topLeftCell="A36" zoomScaleNormal="100" workbookViewId="0">
      <selection activeCell="A23" sqref="A23"/>
    </sheetView>
  </sheetViews>
  <sheetFormatPr defaultColWidth="8.7109375" defaultRowHeight="15"/>
  <cols>
    <col min="1" max="1" width="30.42578125" style="10" customWidth="1"/>
    <col min="2" max="26" width="15.7109375" style="17" customWidth="1"/>
    <col min="27" max="53" width="15.7109375" style="10" customWidth="1"/>
    <col min="54" max="16384" width="8.7109375" style="10"/>
  </cols>
  <sheetData>
    <row r="1" spans="1:54" ht="15" customHeight="1">
      <c r="A1" s="106" t="s">
        <v>0</v>
      </c>
      <c r="B1" s="18" t="s">
        <v>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4"/>
    </row>
    <row r="2" spans="1:54" s="11" customFormat="1" ht="15" customHeight="1">
      <c r="A2" s="106"/>
      <c r="B2" s="85">
        <v>46244</v>
      </c>
      <c r="C2" s="85">
        <f>B2+7</f>
        <v>46251</v>
      </c>
      <c r="D2" s="85">
        <f>C2+7</f>
        <v>46258</v>
      </c>
      <c r="E2" s="85">
        <f>D2+7</f>
        <v>46265</v>
      </c>
      <c r="F2" s="85">
        <f>E2+7</f>
        <v>46272</v>
      </c>
      <c r="G2" s="85">
        <f>F2+7</f>
        <v>46279</v>
      </c>
      <c r="H2" s="85">
        <f>G2+7</f>
        <v>46286</v>
      </c>
      <c r="I2" s="85">
        <f>H2+7</f>
        <v>46293</v>
      </c>
      <c r="J2" s="85">
        <f>I2+7</f>
        <v>46300</v>
      </c>
      <c r="K2" s="85">
        <f>J2+7</f>
        <v>46307</v>
      </c>
      <c r="L2" s="85">
        <f>K2+7</f>
        <v>46314</v>
      </c>
      <c r="M2" s="85">
        <f>L2+7</f>
        <v>46321</v>
      </c>
      <c r="N2" s="85">
        <f>M2+7</f>
        <v>46328</v>
      </c>
      <c r="O2" s="85">
        <f>N2+7</f>
        <v>46335</v>
      </c>
      <c r="P2" s="85">
        <f>O2+7</f>
        <v>46342</v>
      </c>
      <c r="Q2" s="85">
        <f>P2+7</f>
        <v>46349</v>
      </c>
      <c r="R2" s="85">
        <f>Q2+7</f>
        <v>46356</v>
      </c>
      <c r="S2" s="85">
        <f>R2+7</f>
        <v>46363</v>
      </c>
      <c r="T2" s="85">
        <f>S2+7</f>
        <v>46370</v>
      </c>
      <c r="U2" s="85">
        <f>T2+7</f>
        <v>46377</v>
      </c>
      <c r="V2" s="85">
        <f>U2+7</f>
        <v>46384</v>
      </c>
      <c r="W2" s="85">
        <f>V2+7</f>
        <v>46391</v>
      </c>
      <c r="X2" s="85">
        <f>W2+7</f>
        <v>46398</v>
      </c>
      <c r="Y2" s="85">
        <f>X2+7</f>
        <v>46405</v>
      </c>
      <c r="Z2" s="87">
        <f>Y2+7</f>
        <v>46412</v>
      </c>
      <c r="AA2" s="86">
        <f t="shared" ref="AA2:BA2" si="0">Z2+7</f>
        <v>46419</v>
      </c>
      <c r="AB2" s="86">
        <f t="shared" si="0"/>
        <v>46426</v>
      </c>
      <c r="AC2" s="86">
        <f t="shared" si="0"/>
        <v>46433</v>
      </c>
      <c r="AD2" s="86">
        <f t="shared" si="0"/>
        <v>46440</v>
      </c>
      <c r="AE2" s="86">
        <f t="shared" si="0"/>
        <v>46447</v>
      </c>
      <c r="AF2" s="86">
        <f t="shared" si="0"/>
        <v>46454</v>
      </c>
      <c r="AG2" s="86">
        <f t="shared" si="0"/>
        <v>46461</v>
      </c>
      <c r="AH2" s="86">
        <f t="shared" si="0"/>
        <v>46468</v>
      </c>
      <c r="AI2" s="86">
        <f t="shared" si="0"/>
        <v>46475</v>
      </c>
      <c r="AJ2" s="86">
        <f t="shared" si="0"/>
        <v>46482</v>
      </c>
      <c r="AK2" s="86">
        <f t="shared" si="0"/>
        <v>46489</v>
      </c>
      <c r="AL2" s="86">
        <f t="shared" si="0"/>
        <v>46496</v>
      </c>
      <c r="AM2" s="86">
        <f t="shared" si="0"/>
        <v>46503</v>
      </c>
      <c r="AN2" s="86">
        <f t="shared" si="0"/>
        <v>46510</v>
      </c>
      <c r="AO2" s="86">
        <f t="shared" si="0"/>
        <v>46517</v>
      </c>
      <c r="AP2" s="86">
        <f t="shared" si="0"/>
        <v>46524</v>
      </c>
      <c r="AQ2" s="86">
        <f t="shared" si="0"/>
        <v>46531</v>
      </c>
      <c r="AR2" s="86">
        <f t="shared" si="0"/>
        <v>46538</v>
      </c>
      <c r="AS2" s="86">
        <f t="shared" si="0"/>
        <v>46545</v>
      </c>
      <c r="AT2" s="86">
        <f t="shared" si="0"/>
        <v>46552</v>
      </c>
      <c r="AU2" s="86">
        <f t="shared" si="0"/>
        <v>46559</v>
      </c>
      <c r="AV2" s="86">
        <f t="shared" si="0"/>
        <v>46566</v>
      </c>
      <c r="AW2" s="86">
        <f t="shared" si="0"/>
        <v>46573</v>
      </c>
      <c r="AX2" s="86">
        <f t="shared" si="0"/>
        <v>46580</v>
      </c>
      <c r="AY2" s="86">
        <f t="shared" si="0"/>
        <v>46587</v>
      </c>
      <c r="AZ2" s="86">
        <f t="shared" si="0"/>
        <v>46594</v>
      </c>
      <c r="BA2" s="86">
        <f t="shared" si="0"/>
        <v>46601</v>
      </c>
      <c r="BB2" s="115"/>
    </row>
    <row r="3" spans="1:54" ht="15" customHeight="1">
      <c r="A3" s="12" t="s">
        <v>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7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4"/>
    </row>
    <row r="4" spans="1:54" ht="15" customHeight="1">
      <c r="A4" s="13" t="s">
        <v>3</v>
      </c>
      <c r="B4" s="27">
        <v>20</v>
      </c>
      <c r="C4" s="28">
        <v>20</v>
      </c>
      <c r="D4" s="28">
        <v>20</v>
      </c>
      <c r="E4" s="28">
        <v>20</v>
      </c>
      <c r="F4" s="116">
        <v>20</v>
      </c>
      <c r="G4" s="116">
        <v>20</v>
      </c>
      <c r="H4" s="116">
        <v>20</v>
      </c>
      <c r="I4" s="116">
        <v>20</v>
      </c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7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4"/>
    </row>
    <row r="5" spans="1:54" ht="15" customHeight="1">
      <c r="A5" s="12" t="s">
        <v>4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7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4"/>
    </row>
    <row r="6" spans="1:54" ht="15" customHeight="1">
      <c r="A6" s="12" t="s">
        <v>5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7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4"/>
    </row>
    <row r="7" spans="1:54" ht="15" customHeight="1">
      <c r="A7" s="13" t="s">
        <v>6</v>
      </c>
      <c r="B7" s="27">
        <v>20</v>
      </c>
      <c r="C7" s="28">
        <v>20</v>
      </c>
      <c r="D7" s="28">
        <v>20</v>
      </c>
      <c r="E7" s="28">
        <v>20</v>
      </c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7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4"/>
    </row>
    <row r="8" spans="1:54" ht="15" customHeight="1">
      <c r="A8" s="12" t="s">
        <v>7</v>
      </c>
      <c r="B8" s="116"/>
      <c r="C8" s="116"/>
      <c r="D8" s="116"/>
      <c r="E8" s="29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7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4"/>
    </row>
    <row r="9" spans="1:54" ht="15" customHeight="1">
      <c r="A9" s="13" t="s">
        <v>8</v>
      </c>
      <c r="B9" s="27">
        <v>20</v>
      </c>
      <c r="C9" s="28">
        <v>20</v>
      </c>
      <c r="D9" s="28">
        <v>20</v>
      </c>
      <c r="E9" s="28">
        <v>20</v>
      </c>
      <c r="F9" s="116">
        <v>20</v>
      </c>
      <c r="G9" s="116">
        <v>20</v>
      </c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7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4"/>
    </row>
    <row r="10" spans="1:54" ht="15" customHeight="1">
      <c r="A10" s="12" t="s">
        <v>9</v>
      </c>
      <c r="B10" s="27">
        <v>20</v>
      </c>
      <c r="C10" s="28">
        <v>20</v>
      </c>
      <c r="D10" s="28">
        <v>20</v>
      </c>
      <c r="E10" s="28">
        <v>20</v>
      </c>
      <c r="F10" s="116">
        <v>20</v>
      </c>
      <c r="G10" s="116">
        <v>20</v>
      </c>
      <c r="H10" s="116">
        <v>20</v>
      </c>
      <c r="I10" s="116">
        <v>20</v>
      </c>
      <c r="J10" s="116">
        <v>20</v>
      </c>
      <c r="K10" s="116">
        <v>20</v>
      </c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7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4"/>
    </row>
    <row r="11" spans="1:54" ht="15" customHeight="1">
      <c r="A11" s="12" t="s">
        <v>10</v>
      </c>
      <c r="B11" s="116">
        <v>20</v>
      </c>
      <c r="C11" s="116">
        <v>20</v>
      </c>
      <c r="D11" s="116">
        <v>20</v>
      </c>
      <c r="E11" s="116">
        <v>20</v>
      </c>
      <c r="F11" s="116">
        <v>20</v>
      </c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7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4"/>
    </row>
    <row r="12" spans="1:54" ht="15" customHeight="1">
      <c r="A12" s="12" t="s">
        <v>11</v>
      </c>
      <c r="B12" s="27">
        <v>20</v>
      </c>
      <c r="C12" s="28">
        <v>20</v>
      </c>
      <c r="D12" s="28">
        <v>20</v>
      </c>
      <c r="E12" s="28">
        <v>20</v>
      </c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7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4"/>
    </row>
    <row r="13" spans="1:54" ht="15" customHeight="1">
      <c r="A13" s="12" t="s">
        <v>12</v>
      </c>
      <c r="B13" s="27">
        <v>20</v>
      </c>
      <c r="C13" s="28">
        <v>20</v>
      </c>
      <c r="D13" s="28">
        <v>20</v>
      </c>
      <c r="E13" s="28">
        <v>20</v>
      </c>
      <c r="F13" s="116">
        <v>20</v>
      </c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7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4"/>
    </row>
    <row r="14" spans="1:54" ht="15" customHeight="1">
      <c r="A14" s="12" t="s">
        <v>13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7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4"/>
    </row>
    <row r="15" spans="1:54" ht="15" customHeight="1">
      <c r="A15" s="13" t="s">
        <v>14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7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4"/>
    </row>
    <row r="16" spans="1:54" ht="15" customHeight="1">
      <c r="A16" s="13" t="s">
        <v>15</v>
      </c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7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4"/>
    </row>
    <row r="17" spans="1:54" ht="15" customHeight="1">
      <c r="A17" s="12" t="s">
        <v>16</v>
      </c>
      <c r="B17" s="27">
        <v>20</v>
      </c>
      <c r="C17" s="28">
        <v>20</v>
      </c>
      <c r="D17" s="28">
        <v>20</v>
      </c>
      <c r="E17" s="28">
        <v>20</v>
      </c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7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4"/>
    </row>
    <row r="18" spans="1:54" ht="15" customHeight="1">
      <c r="A18" s="13" t="s">
        <v>17</v>
      </c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7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4"/>
    </row>
    <row r="19" spans="1:54" ht="15" customHeight="1">
      <c r="A19" s="12" t="s">
        <v>18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7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4"/>
    </row>
    <row r="20" spans="1:54" ht="15" customHeight="1">
      <c r="A20" s="12" t="s">
        <v>19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7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4"/>
    </row>
    <row r="21" spans="1:54" ht="15" customHeight="1">
      <c r="A21" s="12" t="s">
        <v>20</v>
      </c>
      <c r="B21" s="27">
        <v>20</v>
      </c>
      <c r="C21" s="28">
        <v>20</v>
      </c>
      <c r="D21" s="28">
        <v>20</v>
      </c>
      <c r="E21" s="28">
        <v>20</v>
      </c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7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4"/>
    </row>
    <row r="22" spans="1:54" ht="15" customHeight="1">
      <c r="A22" s="12" t="s">
        <v>21</v>
      </c>
      <c r="B22" s="27">
        <v>20</v>
      </c>
      <c r="C22" s="28">
        <v>20</v>
      </c>
      <c r="D22" s="28">
        <v>20</v>
      </c>
      <c r="E22" s="116">
        <v>20</v>
      </c>
      <c r="F22" s="116">
        <v>20</v>
      </c>
      <c r="G22" s="116">
        <v>20</v>
      </c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7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4"/>
    </row>
    <row r="23" spans="1:54" ht="15" customHeight="1">
      <c r="A23" s="12" t="s">
        <v>22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7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4"/>
    </row>
    <row r="24" spans="1:54" ht="15" customHeight="1">
      <c r="A24" s="12" t="s">
        <v>23</v>
      </c>
      <c r="B24" s="116">
        <v>20</v>
      </c>
      <c r="C24" s="116">
        <v>20</v>
      </c>
      <c r="D24" s="116">
        <v>20</v>
      </c>
      <c r="E24" s="116">
        <v>20</v>
      </c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7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4"/>
    </row>
    <row r="25" spans="1:54" ht="15" customHeight="1">
      <c r="A25" s="13" t="s">
        <v>24</v>
      </c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7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4"/>
    </row>
    <row r="26" spans="1:54" ht="15" customHeight="1">
      <c r="A26" s="12" t="s">
        <v>25</v>
      </c>
      <c r="B26" s="116">
        <v>20</v>
      </c>
      <c r="C26" s="116">
        <v>20</v>
      </c>
      <c r="D26" s="116">
        <v>20</v>
      </c>
      <c r="E26" s="116">
        <v>20</v>
      </c>
      <c r="F26" s="116">
        <v>20</v>
      </c>
      <c r="G26" s="116">
        <v>20</v>
      </c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7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4"/>
    </row>
    <row r="27" spans="1:54" ht="15" customHeight="1">
      <c r="A27" s="13" t="s">
        <v>26</v>
      </c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7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4"/>
    </row>
    <row r="28" spans="1:54" ht="15" customHeight="1">
      <c r="A28" s="13" t="s">
        <v>27</v>
      </c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7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4"/>
    </row>
    <row r="29" spans="1:54" ht="15" customHeight="1">
      <c r="A29" s="12" t="s">
        <v>28</v>
      </c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7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4"/>
    </row>
    <row r="30" spans="1:54" ht="15" customHeight="1">
      <c r="A30" s="12" t="s">
        <v>29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4"/>
    </row>
    <row r="31" spans="1:54" ht="15" customHeight="1">
      <c r="A31" s="12" t="s">
        <v>30</v>
      </c>
      <c r="B31" s="116">
        <v>20</v>
      </c>
      <c r="C31" s="116">
        <v>10</v>
      </c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7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4"/>
    </row>
    <row r="32" spans="1:54" ht="15" customHeight="1">
      <c r="A32" s="12" t="s">
        <v>31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7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4"/>
    </row>
    <row r="33" spans="1:54" ht="15" customHeight="1">
      <c r="A33" s="12" t="s">
        <v>32</v>
      </c>
      <c r="B33" s="51">
        <v>20</v>
      </c>
      <c r="C33" s="27">
        <v>20</v>
      </c>
      <c r="D33" s="28">
        <v>20</v>
      </c>
      <c r="E33" s="28">
        <v>20</v>
      </c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7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4"/>
    </row>
    <row r="34" spans="1:54" ht="15" customHeight="1">
      <c r="A34" s="12" t="s">
        <v>33</v>
      </c>
      <c r="B34" s="51">
        <v>20</v>
      </c>
      <c r="C34" s="27">
        <v>20</v>
      </c>
      <c r="D34" s="28">
        <v>20</v>
      </c>
      <c r="E34" s="28">
        <v>20</v>
      </c>
      <c r="F34" s="116">
        <v>20</v>
      </c>
      <c r="G34" s="116">
        <v>20</v>
      </c>
      <c r="H34" s="116">
        <v>20</v>
      </c>
      <c r="I34" s="116">
        <v>20</v>
      </c>
      <c r="J34" s="116">
        <v>20</v>
      </c>
      <c r="K34" s="116">
        <v>20</v>
      </c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7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4"/>
    </row>
    <row r="35" spans="1:54" ht="15" customHeight="1">
      <c r="A35" s="12" t="s">
        <v>34</v>
      </c>
      <c r="B35" s="116">
        <v>20</v>
      </c>
      <c r="C35" s="116">
        <v>20</v>
      </c>
      <c r="D35" s="116">
        <v>20</v>
      </c>
      <c r="E35" s="116">
        <v>20</v>
      </c>
      <c r="F35" s="116">
        <v>20</v>
      </c>
      <c r="G35" s="116">
        <v>20</v>
      </c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7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4"/>
    </row>
    <row r="36" spans="1:54" ht="15" customHeight="1">
      <c r="A36" s="13" t="s">
        <v>35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7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4"/>
    </row>
    <row r="37" spans="1:54" ht="15" customHeight="1">
      <c r="A37" s="12" t="s">
        <v>36</v>
      </c>
      <c r="B37" s="51">
        <v>20</v>
      </c>
      <c r="C37" s="27">
        <v>20</v>
      </c>
      <c r="D37" s="28">
        <v>10</v>
      </c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7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4"/>
    </row>
    <row r="38" spans="1:54" ht="15" customHeight="1">
      <c r="A38" s="13" t="s">
        <v>37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7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4"/>
    </row>
    <row r="39" spans="1:54" ht="15" customHeight="1">
      <c r="A39" s="12" t="s">
        <v>38</v>
      </c>
      <c r="B39" s="51">
        <v>20</v>
      </c>
      <c r="C39" s="27">
        <v>20</v>
      </c>
      <c r="D39" s="28">
        <v>20</v>
      </c>
      <c r="E39" s="28">
        <v>20</v>
      </c>
      <c r="F39" s="28">
        <v>20</v>
      </c>
      <c r="G39" s="28">
        <v>20</v>
      </c>
      <c r="H39" s="28">
        <v>20</v>
      </c>
      <c r="I39" s="28">
        <v>20</v>
      </c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7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4"/>
    </row>
    <row r="40" spans="1:54" ht="15" customHeight="1">
      <c r="A40" s="12" t="s">
        <v>39</v>
      </c>
      <c r="B40" s="51">
        <v>20</v>
      </c>
      <c r="C40" s="27">
        <v>20</v>
      </c>
      <c r="D40" s="28">
        <v>20</v>
      </c>
      <c r="E40" s="28">
        <v>20</v>
      </c>
      <c r="F40" s="28">
        <v>20</v>
      </c>
      <c r="G40" s="28">
        <v>20</v>
      </c>
      <c r="H40" s="28"/>
      <c r="I40" s="28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7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4"/>
    </row>
    <row r="41" spans="1:54" ht="15" customHeight="1">
      <c r="A41" s="12" t="s">
        <v>40</v>
      </c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7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4"/>
    </row>
    <row r="42" spans="1:54" ht="15" customHeight="1">
      <c r="A42" s="14" t="s">
        <v>41</v>
      </c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7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4"/>
    </row>
    <row r="43" spans="1:54" ht="15" customHeight="1">
      <c r="A43" s="74" t="s">
        <v>42</v>
      </c>
      <c r="B43" s="120">
        <v>2834</v>
      </c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7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4"/>
    </row>
    <row r="44" spans="1:54" ht="15" customHeight="1">
      <c r="A44" s="15" t="s">
        <v>43</v>
      </c>
      <c r="B44" s="119">
        <f>SUM(B3:B43)</f>
        <v>3214</v>
      </c>
      <c r="C44" s="116">
        <f>SUM(C3:C42)</f>
        <v>370</v>
      </c>
      <c r="D44" s="116">
        <f>SUM(D3:D42)</f>
        <v>350</v>
      </c>
      <c r="E44" s="116">
        <f>SUM(E3:E42)</f>
        <v>340</v>
      </c>
      <c r="F44" s="116">
        <f>SUM(F3:F42)</f>
        <v>220</v>
      </c>
      <c r="G44" s="116">
        <f>SUM(G3:G42)</f>
        <v>180</v>
      </c>
      <c r="H44" s="116">
        <f>SUM(H3:H42)</f>
        <v>80</v>
      </c>
      <c r="I44" s="116">
        <f>SUM(I3:I42)</f>
        <v>80</v>
      </c>
      <c r="J44" s="116">
        <f>SUM(J3:J42)</f>
        <v>40</v>
      </c>
      <c r="K44" s="116">
        <f>SUM(K3:K42)</f>
        <v>40</v>
      </c>
      <c r="L44" s="116">
        <f>SUM(L3:L42)</f>
        <v>0</v>
      </c>
      <c r="M44" s="116">
        <f>SUM(M3:M42)</f>
        <v>0</v>
      </c>
      <c r="N44" s="116">
        <f>SUM(N3:N42)</f>
        <v>0</v>
      </c>
      <c r="O44" s="116">
        <f>SUM(O3:O42)</f>
        <v>0</v>
      </c>
      <c r="P44" s="116">
        <f>SUM(P3:P42)</f>
        <v>0</v>
      </c>
      <c r="Q44" s="116">
        <f>SUM(Q3:Q42)</f>
        <v>0</v>
      </c>
      <c r="R44" s="116">
        <f>SUM(R3:R42)</f>
        <v>0</v>
      </c>
      <c r="S44" s="116">
        <f>SUM(S3:S42)</f>
        <v>0</v>
      </c>
      <c r="T44" s="116">
        <f>SUM(T3:T42)</f>
        <v>0</v>
      </c>
      <c r="U44" s="116">
        <f>SUM(U3:U42)</f>
        <v>0</v>
      </c>
      <c r="V44" s="116">
        <f>SUM(V3:V42)</f>
        <v>0</v>
      </c>
      <c r="W44" s="116">
        <f>SUM(W3:W42)</f>
        <v>0</v>
      </c>
      <c r="X44" s="116">
        <f>SUM(X3:X42)</f>
        <v>0</v>
      </c>
      <c r="Y44" s="116">
        <f>SUM(Y3:Y42)</f>
        <v>0</v>
      </c>
      <c r="Z44" s="117">
        <f>SUM(Z3:Z42)</f>
        <v>0</v>
      </c>
      <c r="AA44" s="118">
        <f t="shared" ref="AA44:BA44" si="1">SUM(AA3:AA42)</f>
        <v>0</v>
      </c>
      <c r="AB44" s="118">
        <f t="shared" si="1"/>
        <v>0</v>
      </c>
      <c r="AC44" s="118">
        <f t="shared" si="1"/>
        <v>0</v>
      </c>
      <c r="AD44" s="118">
        <f t="shared" si="1"/>
        <v>0</v>
      </c>
      <c r="AE44" s="118">
        <f t="shared" si="1"/>
        <v>0</v>
      </c>
      <c r="AF44" s="118">
        <f t="shared" si="1"/>
        <v>0</v>
      </c>
      <c r="AG44" s="118">
        <f t="shared" si="1"/>
        <v>0</v>
      </c>
      <c r="AH44" s="118">
        <f t="shared" si="1"/>
        <v>0</v>
      </c>
      <c r="AI44" s="118">
        <f t="shared" si="1"/>
        <v>0</v>
      </c>
      <c r="AJ44" s="118">
        <f t="shared" si="1"/>
        <v>0</v>
      </c>
      <c r="AK44" s="118">
        <f t="shared" si="1"/>
        <v>0</v>
      </c>
      <c r="AL44" s="118">
        <f t="shared" si="1"/>
        <v>0</v>
      </c>
      <c r="AM44" s="118">
        <f t="shared" si="1"/>
        <v>0</v>
      </c>
      <c r="AN44" s="118">
        <f t="shared" si="1"/>
        <v>0</v>
      </c>
      <c r="AO44" s="118">
        <f t="shared" si="1"/>
        <v>0</v>
      </c>
      <c r="AP44" s="118">
        <f t="shared" si="1"/>
        <v>0</v>
      </c>
      <c r="AQ44" s="118">
        <f t="shared" si="1"/>
        <v>0</v>
      </c>
      <c r="AR44" s="118">
        <f t="shared" si="1"/>
        <v>0</v>
      </c>
      <c r="AS44" s="118">
        <f t="shared" si="1"/>
        <v>0</v>
      </c>
      <c r="AT44" s="118">
        <f t="shared" si="1"/>
        <v>0</v>
      </c>
      <c r="AU44" s="118">
        <f t="shared" si="1"/>
        <v>0</v>
      </c>
      <c r="AV44" s="118">
        <f t="shared" si="1"/>
        <v>0</v>
      </c>
      <c r="AW44" s="118">
        <f t="shared" si="1"/>
        <v>0</v>
      </c>
      <c r="AX44" s="118">
        <f t="shared" si="1"/>
        <v>0</v>
      </c>
      <c r="AY44" s="118">
        <f t="shared" si="1"/>
        <v>0</v>
      </c>
      <c r="AZ44" s="118">
        <f t="shared" si="1"/>
        <v>0</v>
      </c>
      <c r="BA44" s="118">
        <f t="shared" si="1"/>
        <v>0</v>
      </c>
      <c r="BB44" s="114"/>
    </row>
    <row r="45" spans="1:54" ht="23.25" customHeight="1">
      <c r="A45" s="16" t="s">
        <v>44</v>
      </c>
      <c r="B45" s="102">
        <f>LOOKUP(9.99E+307, 'Balance Sheet'!D2:D14)</f>
        <v>2650</v>
      </c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  <c r="AX45" s="114"/>
      <c r="AY45" s="114"/>
      <c r="AZ45" s="114"/>
      <c r="BA45" s="114"/>
      <c r="BB45" s="114"/>
    </row>
  </sheetData>
  <mergeCells count="1">
    <mergeCell ref="A1:A2"/>
  </mergeCells>
  <pageMargins left="0.7" right="0.7" top="0.75" bottom="0.75" header="0.511811023622047" footer="0.511811023622047"/>
  <pageSetup paperSize="9" orientation="portrait" horizontalDpi="300" verticalDpi="300"/>
  <ignoredErrors>
    <ignoredError sqref="B45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9"/>
  <sheetViews>
    <sheetView topLeftCell="A20" zoomScaleNormal="100" workbookViewId="0">
      <selection activeCell="D27" sqref="D27"/>
    </sheetView>
  </sheetViews>
  <sheetFormatPr defaultColWidth="15.7109375" defaultRowHeight="15"/>
  <cols>
    <col min="1" max="1" width="14" style="26" customWidth="1"/>
    <col min="2" max="2" width="30" style="26" customWidth="1"/>
    <col min="3" max="4" width="14" style="26" customWidth="1"/>
    <col min="5" max="16384" width="15.7109375" style="26"/>
  </cols>
  <sheetData>
    <row r="1" spans="1:4" ht="26.25">
      <c r="A1" s="47" t="s">
        <v>1</v>
      </c>
      <c r="B1" s="47" t="s">
        <v>45</v>
      </c>
      <c r="C1" s="47" t="s">
        <v>46</v>
      </c>
      <c r="D1" s="47" t="s">
        <v>43</v>
      </c>
    </row>
    <row r="2" spans="1:4" ht="15" customHeight="1">
      <c r="A2" s="1" t="s">
        <v>47</v>
      </c>
      <c r="B2" s="2" cm="1">
        <f t="array" ref="B2">SUMPRODUCT((TEXT('Class List'!$B$2:$BA$2,"mmmm")=A2)*('Class List'!$B$44:$BA$44))</f>
        <v>4274</v>
      </c>
      <c r="C2" s="3" cm="1">
        <f t="array" ref="C2">SUMPRODUCT((TEXT($C$20:$C$69,"mmmm")=A2)*($D$20:$D$69))</f>
        <v>515</v>
      </c>
      <c r="D2" s="81">
        <f>IF(AND(N(B2)=0, N(C2)=0), "", B2-C2)</f>
        <v>3759</v>
      </c>
    </row>
    <row r="3" spans="1:4" ht="15" customHeight="1">
      <c r="A3" s="1" t="s">
        <v>48</v>
      </c>
      <c r="B3" s="2" cm="1">
        <f t="array" ref="B3">SUMPRODUCT((TEXT('Class List'!$B$2:$BA$2,"mmmm")=A3)*('Class List'!$B$44:$BA$44))</f>
        <v>560</v>
      </c>
      <c r="C3" s="3" cm="1">
        <f t="array" ref="C3">SUMPRODUCT((TEXT($C$20:$C$69,"mmmm")=A3)*($D$20:$D$69))</f>
        <v>1749</v>
      </c>
      <c r="D3" s="82">
        <f>IF(AND(N(B3)=0, N(C3)=0), "", N(D2)+N(B3)-N(C3))</f>
        <v>2570</v>
      </c>
    </row>
    <row r="4" spans="1:4" ht="15" customHeight="1">
      <c r="A4" s="1" t="s">
        <v>49</v>
      </c>
      <c r="B4" s="2" cm="1">
        <f t="array" ref="B4">SUMPRODUCT((TEXT('Class List'!$B$2:$BA$2,"mmmm")=A4)*('Class List'!$B$44:$BA$44))</f>
        <v>80</v>
      </c>
      <c r="C4" s="80" cm="1">
        <f t="array" ref="C4">SUMPRODUCT((TEXT($C$20:$C$69,"mmmm")=A4)*($D$20:$D$69))</f>
        <v>0</v>
      </c>
      <c r="D4" s="82">
        <f t="shared" ref="D4:D13" si="0">IF(AND(N(B4)=0, N(C4)=0), "", N(D3)+N(B4)-N(C4))</f>
        <v>2650</v>
      </c>
    </row>
    <row r="5" spans="1:4" ht="15" customHeight="1">
      <c r="A5" s="1" t="s">
        <v>50</v>
      </c>
      <c r="B5" s="2" cm="1">
        <f t="array" ref="B5">SUMPRODUCT((TEXT('Class List'!$B$2:$BA$2,"mmmm")=A5)*('Class List'!$B$44:$BA$44))</f>
        <v>0</v>
      </c>
      <c r="C5" s="3" cm="1">
        <f t="array" ref="C5">SUMPRODUCT((TEXT($C$20:$C$69,"mmmm")=A5)*($D$20:$D$69))</f>
        <v>0</v>
      </c>
      <c r="D5" s="82" t="str">
        <f t="shared" si="0"/>
        <v/>
      </c>
    </row>
    <row r="6" spans="1:4" ht="15" customHeight="1">
      <c r="A6" s="1" t="s">
        <v>51</v>
      </c>
      <c r="B6" s="2" cm="1">
        <f t="array" ref="B6">SUMPRODUCT((TEXT('Class List'!$B$2:$BA$2,"mmmm")=A6)*('Class List'!$B$44:$BA$44))</f>
        <v>0</v>
      </c>
      <c r="C6" s="3" cm="1">
        <f t="array" ref="C6">SUMPRODUCT((TEXT($C$20:$C$69,"mmmm")=A6)*($D$20:$D$69))</f>
        <v>0</v>
      </c>
      <c r="D6" s="82" t="str">
        <f t="shared" si="0"/>
        <v/>
      </c>
    </row>
    <row r="7" spans="1:4" ht="15" customHeight="1">
      <c r="A7" s="1" t="s">
        <v>52</v>
      </c>
      <c r="B7" s="2" cm="1">
        <f t="array" ref="B7">SUMPRODUCT((TEXT('Class List'!$B$2:$BA$2,"mmmm")=A7)*('Class List'!$B$44:$BA$44))</f>
        <v>0</v>
      </c>
      <c r="C7" s="3" cm="1">
        <f t="array" ref="C7">SUMPRODUCT((TEXT($C$20:$C$69,"mmmm")=A7)*($D$20:$D$69))</f>
        <v>0</v>
      </c>
      <c r="D7" s="82" t="str">
        <f t="shared" si="0"/>
        <v/>
      </c>
    </row>
    <row r="8" spans="1:4" ht="15" customHeight="1">
      <c r="A8" s="1" t="s">
        <v>53</v>
      </c>
      <c r="B8" s="2" cm="1">
        <f t="array" ref="B8">SUMPRODUCT((TEXT('Class List'!$B$2:$BA$2,"mmmm")=A8)*('Class List'!$B$44:$BA$44))</f>
        <v>0</v>
      </c>
      <c r="C8" s="3" cm="1">
        <f t="array" ref="C8">SUMPRODUCT((TEXT($C$20:$C$69,"mmmm")=A8)*($D$20:$D$69))</f>
        <v>0</v>
      </c>
      <c r="D8" s="82" t="str">
        <f t="shared" si="0"/>
        <v/>
      </c>
    </row>
    <row r="9" spans="1:4" ht="15" customHeight="1">
      <c r="A9" s="1" t="s">
        <v>54</v>
      </c>
      <c r="B9" s="2" cm="1">
        <f t="array" ref="B9">SUMPRODUCT((TEXT('Class List'!$B$2:$BA$2,"mmmm")=A9)*('Class List'!$B$44:$BA$44))</f>
        <v>0</v>
      </c>
      <c r="C9" s="3" cm="1">
        <f t="array" ref="C9">SUMPRODUCT((TEXT($C$20:$C$69,"mmmm")=A9)*($D$20:$D$69))</f>
        <v>0</v>
      </c>
      <c r="D9" s="82" t="str">
        <f t="shared" si="0"/>
        <v/>
      </c>
    </row>
    <row r="10" spans="1:4" ht="15" customHeight="1">
      <c r="A10" s="1" t="s">
        <v>55</v>
      </c>
      <c r="B10" s="2" cm="1">
        <f t="array" ref="B10">SUMPRODUCT((TEXT('Class List'!$B$2:$BA$2,"mmmm")=A10)*('Class List'!$B$44:$BA$44))</f>
        <v>0</v>
      </c>
      <c r="C10" s="3" cm="1">
        <f t="array" ref="C10">SUMPRODUCT((TEXT($C$20:$C$69,"mmmm")=A10)*($D$20:$D$69))</f>
        <v>0</v>
      </c>
      <c r="D10" s="82" t="str">
        <f t="shared" si="0"/>
        <v/>
      </c>
    </row>
    <row r="11" spans="1:4" ht="15" customHeight="1">
      <c r="A11" s="1" t="s">
        <v>56</v>
      </c>
      <c r="B11" s="2" cm="1">
        <f t="array" ref="B11">SUMPRODUCT((TEXT('Class List'!$B$2:$BA$2,"mmmm")=A11)*('Class List'!$B$44:$BA$44))</f>
        <v>0</v>
      </c>
      <c r="C11" s="3" cm="1">
        <f t="array" ref="C11">SUMPRODUCT((TEXT($C$20:$C$69,"mmmm")=A11)*($D$20:$D$69))</f>
        <v>0</v>
      </c>
      <c r="D11" s="82" t="str">
        <f t="shared" si="0"/>
        <v/>
      </c>
    </row>
    <row r="12" spans="1:4" ht="15" customHeight="1">
      <c r="A12" s="1" t="s">
        <v>57</v>
      </c>
      <c r="B12" s="2" cm="1">
        <f t="array" ref="B12">SUMPRODUCT((TEXT('Class List'!$B$2:$BA$2,"mmmm")=A12)*('Class List'!$B$44:$BA$44))</f>
        <v>0</v>
      </c>
      <c r="C12" s="3" cm="1">
        <f t="array" ref="C12">SUMPRODUCT((TEXT($C$20:$C$69,"mmmm")=A12)*($D$20:$D$69))</f>
        <v>0</v>
      </c>
      <c r="D12" s="82" t="str">
        <f t="shared" si="0"/>
        <v/>
      </c>
    </row>
    <row r="13" spans="1:4" ht="15" customHeight="1">
      <c r="A13" s="39" t="s">
        <v>58</v>
      </c>
      <c r="B13" s="2" cm="1">
        <f t="array" ref="B13">SUMPRODUCT((TEXT('Class List'!$B$2:$BA$2,"mmmm")=A13)*('Class List'!$B$44:$BA$44))</f>
        <v>0</v>
      </c>
      <c r="C13" s="3" cm="1">
        <f t="array" ref="C13">SUMPRODUCT((TEXT($C$20:$C$69,"mmmm")=A13)*($D$20:$D$69))</f>
        <v>0</v>
      </c>
      <c r="D13" s="82" t="str">
        <f t="shared" si="0"/>
        <v/>
      </c>
    </row>
    <row r="14" spans="1:4" ht="15" customHeight="1">
      <c r="A14" s="42"/>
      <c r="B14" s="42"/>
      <c r="C14" s="43" cm="1">
        <f t="array" ref="C14">SUMPRODUCT((TEXT($C$21:$C$50,"mmmm")=A14)*($D$21:$D$50))</f>
        <v>0</v>
      </c>
      <c r="D14" s="44" t="str">
        <f>IF(AND(N(B14)=0, N(C14)=0), "", MAX(D$2:D13)+N(B14)-N(C14))</f>
        <v/>
      </c>
    </row>
    <row r="15" spans="1:4" ht="15" customHeight="1">
      <c r="A15" s="42"/>
      <c r="B15" s="42"/>
      <c r="C15" s="43" cm="1">
        <f t="array" ref="C15">SUMPRODUCT((TEXT($C$21:$C$50,"mmmm")=A15)*($D$21:$D$50))</f>
        <v>0</v>
      </c>
      <c r="D15" s="44" t="str">
        <f>IF(AND(N(B15)=0, N(C15)=0), "", MAX(D$2:D14)+N(B15)-N(C15))</f>
        <v/>
      </c>
    </row>
    <row r="16" spans="1:4" ht="15" customHeight="1">
      <c r="A16" s="30"/>
      <c r="B16" s="30"/>
      <c r="C16" s="40" cm="1">
        <f t="array" ref="C16">SUMPRODUCT((TEXT($C$21:$C$50,"mmmm")=A16)*($D$21:$D$50))</f>
        <v>0</v>
      </c>
      <c r="D16" s="41" t="str">
        <f>IF(AND(N(B16)=0, N(C16)=0), "", MAX(D$2:D15)+N(B16)-N(C16))</f>
        <v/>
      </c>
    </row>
    <row r="17" spans="1:5" ht="15" customHeight="1">
      <c r="A17" s="30"/>
      <c r="B17" s="30"/>
      <c r="C17" s="40"/>
      <c r="D17" s="41"/>
    </row>
    <row r="18" spans="1:5" ht="26.25">
      <c r="A18" s="107" t="s">
        <v>59</v>
      </c>
      <c r="B18" s="107"/>
      <c r="C18" s="107"/>
      <c r="D18" s="107"/>
      <c r="E18" s="38" t="str">
        <f>HYPERLINK("https://drive.google.com/your-link-here","Copy Paste Link")</f>
        <v>Copy Paste Link</v>
      </c>
    </row>
    <row r="19" spans="1:5" ht="15" customHeight="1">
      <c r="A19" s="45" t="s">
        <v>60</v>
      </c>
      <c r="B19" s="45" t="s">
        <v>61</v>
      </c>
      <c r="C19" s="45" t="s">
        <v>62</v>
      </c>
      <c r="D19" s="46" t="s">
        <v>63</v>
      </c>
      <c r="E19" s="35" t="s">
        <v>64</v>
      </c>
    </row>
    <row r="20" spans="1:5" ht="15" customHeight="1">
      <c r="A20" s="4">
        <v>1</v>
      </c>
      <c r="B20" s="77" t="s">
        <v>65</v>
      </c>
      <c r="C20" s="20">
        <v>46260</v>
      </c>
      <c r="D20" s="36">
        <v>329</v>
      </c>
      <c r="E20" s="35"/>
    </row>
    <row r="21" spans="1:5" ht="15" customHeight="1">
      <c r="A21" s="4">
        <v>2</v>
      </c>
      <c r="B21" s="77" t="s">
        <v>66</v>
      </c>
      <c r="C21" s="8">
        <v>46246</v>
      </c>
      <c r="D21" s="36">
        <v>85</v>
      </c>
      <c r="E21" s="35"/>
    </row>
    <row r="22" spans="1:5" ht="15" customHeight="1">
      <c r="A22" s="4">
        <v>3</v>
      </c>
      <c r="B22" s="77" t="s">
        <v>66</v>
      </c>
      <c r="C22" s="8">
        <v>46261</v>
      </c>
      <c r="D22" s="36">
        <v>101</v>
      </c>
      <c r="E22" s="35"/>
    </row>
    <row r="23" spans="1:5" ht="15" customHeight="1">
      <c r="A23" s="4">
        <v>4</v>
      </c>
      <c r="B23" s="78" t="s">
        <v>66</v>
      </c>
      <c r="C23" s="8">
        <v>46266</v>
      </c>
      <c r="D23" s="36">
        <v>420</v>
      </c>
      <c r="E23" s="35"/>
    </row>
    <row r="24" spans="1:5" ht="15" customHeight="1">
      <c r="A24" s="4">
        <v>5</v>
      </c>
      <c r="B24" s="79" t="s">
        <v>67</v>
      </c>
      <c r="C24" s="8">
        <v>46270</v>
      </c>
      <c r="D24" s="36">
        <v>429</v>
      </c>
      <c r="E24" s="35"/>
    </row>
    <row r="25" spans="1:5" ht="15" customHeight="1">
      <c r="A25" s="4">
        <v>6</v>
      </c>
      <c r="B25" s="78" t="s">
        <v>68</v>
      </c>
      <c r="C25" s="8">
        <v>46270</v>
      </c>
      <c r="D25" s="36">
        <v>540</v>
      </c>
      <c r="E25" s="35"/>
    </row>
    <row r="26" spans="1:5" ht="15" customHeight="1">
      <c r="A26" s="4">
        <v>7</v>
      </c>
      <c r="B26" s="78" t="s">
        <v>66</v>
      </c>
      <c r="C26" s="32">
        <v>46281</v>
      </c>
      <c r="D26" s="37">
        <v>360</v>
      </c>
      <c r="E26" s="35"/>
    </row>
    <row r="27" spans="1:5" ht="15" customHeight="1">
      <c r="A27" s="98">
        <v>8</v>
      </c>
      <c r="B27" s="35"/>
      <c r="C27" s="35"/>
      <c r="D27" s="35"/>
      <c r="E27" s="59"/>
    </row>
    <row r="28" spans="1:5" ht="15" customHeight="1">
      <c r="A28" s="4">
        <v>9</v>
      </c>
      <c r="B28" s="99"/>
      <c r="C28" s="100"/>
      <c r="D28" s="101"/>
      <c r="E28" s="35"/>
    </row>
    <row r="29" spans="1:5" ht="15" customHeight="1">
      <c r="A29" s="4">
        <v>10</v>
      </c>
      <c r="B29" s="4"/>
      <c r="C29" s="8"/>
      <c r="D29" s="36"/>
      <c r="E29" s="35"/>
    </row>
    <row r="30" spans="1:5" ht="15" customHeight="1">
      <c r="A30" s="4">
        <v>11</v>
      </c>
      <c r="B30" s="4"/>
      <c r="C30" s="8"/>
      <c r="D30" s="36"/>
      <c r="E30" s="35"/>
    </row>
    <row r="31" spans="1:5" ht="15" customHeight="1">
      <c r="A31" s="4">
        <v>12</v>
      </c>
      <c r="B31" s="4"/>
      <c r="C31" s="8"/>
      <c r="D31" s="36"/>
      <c r="E31" s="35"/>
    </row>
    <row r="32" spans="1:5" ht="15" customHeight="1">
      <c r="A32" s="4">
        <v>13</v>
      </c>
      <c r="B32" s="4"/>
      <c r="C32" s="8"/>
      <c r="D32" s="36"/>
      <c r="E32" s="35"/>
    </row>
    <row r="33" spans="1:5" ht="15" customHeight="1">
      <c r="A33" s="4">
        <v>14</v>
      </c>
      <c r="B33" s="4"/>
      <c r="C33" s="8"/>
      <c r="D33" s="36"/>
      <c r="E33" s="35"/>
    </row>
    <row r="34" spans="1:5" ht="15" customHeight="1">
      <c r="A34" s="4">
        <v>15</v>
      </c>
      <c r="B34" s="4"/>
      <c r="C34" s="8"/>
      <c r="D34" s="36"/>
      <c r="E34" s="35"/>
    </row>
    <row r="35" spans="1:5" ht="15" customHeight="1">
      <c r="A35" s="4">
        <v>16</v>
      </c>
      <c r="B35" s="4"/>
      <c r="C35" s="8"/>
      <c r="D35" s="36"/>
      <c r="E35" s="35"/>
    </row>
    <row r="36" spans="1:5" ht="15" customHeight="1">
      <c r="A36" s="4">
        <v>17</v>
      </c>
      <c r="B36" s="4"/>
      <c r="C36" s="8"/>
      <c r="D36" s="36"/>
      <c r="E36" s="35"/>
    </row>
    <row r="37" spans="1:5" ht="15" customHeight="1">
      <c r="A37" s="4">
        <v>18</v>
      </c>
      <c r="B37" s="4"/>
      <c r="C37" s="8"/>
      <c r="D37" s="36"/>
      <c r="E37" s="35"/>
    </row>
    <row r="38" spans="1:5" ht="15" customHeight="1">
      <c r="A38" s="4">
        <v>19</v>
      </c>
      <c r="B38" s="4"/>
      <c r="C38" s="8"/>
      <c r="D38" s="36"/>
      <c r="E38" s="35"/>
    </row>
    <row r="39" spans="1:5" ht="15" customHeight="1">
      <c r="A39" s="4">
        <v>20</v>
      </c>
      <c r="B39" s="4"/>
      <c r="C39" s="8"/>
      <c r="D39" s="36"/>
      <c r="E39" s="35"/>
    </row>
    <row r="40" spans="1:5" ht="15" customHeight="1">
      <c r="A40" s="4">
        <v>21</v>
      </c>
      <c r="B40" s="4"/>
      <c r="C40" s="8"/>
      <c r="D40" s="36"/>
      <c r="E40" s="35"/>
    </row>
    <row r="41" spans="1:5" ht="15" customHeight="1">
      <c r="A41" s="4">
        <v>22</v>
      </c>
      <c r="B41" s="4"/>
      <c r="C41" s="8"/>
      <c r="D41" s="36"/>
      <c r="E41" s="35"/>
    </row>
    <row r="42" spans="1:5" ht="15" customHeight="1">
      <c r="A42" s="4">
        <v>23</v>
      </c>
      <c r="B42" s="4"/>
      <c r="C42" s="8"/>
      <c r="D42" s="36"/>
      <c r="E42" s="35"/>
    </row>
    <row r="43" spans="1:5" ht="15" customHeight="1">
      <c r="A43" s="4">
        <v>24</v>
      </c>
      <c r="B43" s="4"/>
      <c r="C43" s="8"/>
      <c r="D43" s="36"/>
      <c r="E43" s="35"/>
    </row>
    <row r="44" spans="1:5" ht="15" customHeight="1">
      <c r="A44" s="4">
        <v>25</v>
      </c>
      <c r="B44" s="4"/>
      <c r="C44" s="8"/>
      <c r="D44" s="36"/>
      <c r="E44" s="35"/>
    </row>
    <row r="45" spans="1:5" ht="15" customHeight="1">
      <c r="A45" s="4">
        <v>26</v>
      </c>
      <c r="B45" s="4"/>
      <c r="C45" s="8"/>
      <c r="D45" s="36"/>
      <c r="E45" s="35"/>
    </row>
    <row r="46" spans="1:5" ht="15" customHeight="1">
      <c r="A46" s="4">
        <v>27</v>
      </c>
      <c r="B46" s="4"/>
      <c r="C46" s="8"/>
      <c r="D46" s="36"/>
      <c r="E46" s="35"/>
    </row>
    <row r="47" spans="1:5" ht="15" customHeight="1">
      <c r="A47" s="4">
        <v>28</v>
      </c>
      <c r="B47" s="4"/>
      <c r="C47" s="8"/>
      <c r="D47" s="36"/>
      <c r="E47" s="35"/>
    </row>
    <row r="48" spans="1:5" ht="15" customHeight="1">
      <c r="A48" s="31">
        <v>29</v>
      </c>
      <c r="B48" s="31"/>
      <c r="C48" s="32"/>
      <c r="D48" s="37"/>
      <c r="E48" s="35"/>
    </row>
    <row r="49" spans="1:5" ht="15" customHeight="1">
      <c r="A49" s="55">
        <v>30</v>
      </c>
      <c r="B49" s="55"/>
      <c r="C49" s="56"/>
      <c r="D49" s="57"/>
      <c r="E49" s="58"/>
    </row>
    <row r="50" spans="1:5" ht="15" customHeight="1">
      <c r="A50" s="55">
        <v>31</v>
      </c>
      <c r="B50" s="33"/>
      <c r="C50" s="34"/>
      <c r="D50" s="52"/>
      <c r="E50" s="35"/>
    </row>
    <row r="51" spans="1:5" ht="15" customHeight="1">
      <c r="A51" s="55">
        <v>32</v>
      </c>
      <c r="B51" s="42"/>
      <c r="C51" s="42"/>
      <c r="D51" s="42"/>
      <c r="E51" s="35"/>
    </row>
    <row r="52" spans="1:5" ht="15" customHeight="1">
      <c r="A52" s="55">
        <v>33</v>
      </c>
      <c r="B52" s="53"/>
      <c r="C52" s="53"/>
      <c r="D52" s="53"/>
      <c r="E52" s="35"/>
    </row>
    <row r="53" spans="1:5" ht="21.75" customHeight="1">
      <c r="A53" s="55">
        <v>34</v>
      </c>
      <c r="B53" s="54"/>
      <c r="C53" s="54"/>
      <c r="D53" s="54"/>
      <c r="E53" s="35"/>
    </row>
    <row r="54" spans="1:5" ht="21.75" customHeight="1">
      <c r="A54" s="55">
        <v>35</v>
      </c>
      <c r="B54" s="54"/>
      <c r="C54" s="54"/>
      <c r="D54" s="54"/>
      <c r="E54" s="35"/>
    </row>
    <row r="55" spans="1:5" ht="15" customHeight="1">
      <c r="A55" s="55">
        <v>36</v>
      </c>
      <c r="B55" s="54"/>
      <c r="C55" s="54"/>
      <c r="D55" s="54"/>
      <c r="E55" s="35"/>
    </row>
    <row r="56" spans="1:5" ht="32.25" customHeight="1">
      <c r="A56" s="55">
        <v>37</v>
      </c>
      <c r="B56" s="54"/>
      <c r="C56" s="54"/>
      <c r="D56" s="54"/>
      <c r="E56" s="35"/>
    </row>
    <row r="57" spans="1:5">
      <c r="A57" s="55">
        <v>38</v>
      </c>
      <c r="B57" s="35"/>
      <c r="C57" s="35"/>
      <c r="D57" s="35"/>
      <c r="E57" s="35"/>
    </row>
    <row r="58" spans="1:5">
      <c r="A58" s="55">
        <v>39</v>
      </c>
      <c r="B58" s="35"/>
      <c r="C58" s="35"/>
      <c r="D58" s="35"/>
      <c r="E58" s="35"/>
    </row>
    <row r="59" spans="1:5">
      <c r="A59" s="55">
        <v>40</v>
      </c>
      <c r="B59" s="35"/>
      <c r="C59" s="35"/>
      <c r="D59" s="35"/>
      <c r="E59" s="35"/>
    </row>
    <row r="60" spans="1:5">
      <c r="A60" s="55">
        <v>41</v>
      </c>
      <c r="B60" s="35"/>
      <c r="C60" s="35"/>
      <c r="D60" s="35"/>
      <c r="E60" s="35"/>
    </row>
    <row r="61" spans="1:5">
      <c r="A61" s="55">
        <v>42</v>
      </c>
      <c r="B61" s="35"/>
      <c r="C61" s="35"/>
      <c r="D61" s="35"/>
      <c r="E61" s="35"/>
    </row>
    <row r="62" spans="1:5">
      <c r="A62" s="55">
        <v>43</v>
      </c>
      <c r="B62" s="35"/>
      <c r="C62" s="35"/>
      <c r="D62" s="35"/>
      <c r="E62" s="35"/>
    </row>
    <row r="63" spans="1:5">
      <c r="A63" s="55">
        <v>44</v>
      </c>
      <c r="B63" s="35"/>
      <c r="C63" s="35"/>
      <c r="D63" s="35"/>
      <c r="E63" s="35"/>
    </row>
    <row r="64" spans="1:5">
      <c r="A64" s="55">
        <v>45</v>
      </c>
      <c r="B64" s="35"/>
      <c r="C64" s="35"/>
      <c r="D64" s="35"/>
      <c r="E64" s="35"/>
    </row>
    <row r="65" spans="1:5">
      <c r="A65" s="55">
        <v>46</v>
      </c>
      <c r="B65" s="35"/>
      <c r="C65" s="35"/>
      <c r="D65" s="35"/>
      <c r="E65" s="35"/>
    </row>
    <row r="66" spans="1:5">
      <c r="A66" s="55">
        <v>47</v>
      </c>
      <c r="B66" s="35"/>
      <c r="C66" s="35"/>
      <c r="D66" s="35"/>
      <c r="E66" s="35"/>
    </row>
    <row r="67" spans="1:5">
      <c r="A67" s="55">
        <v>48</v>
      </c>
      <c r="B67" s="35"/>
      <c r="C67" s="35"/>
      <c r="D67" s="35"/>
      <c r="E67" s="35"/>
    </row>
    <row r="68" spans="1:5">
      <c r="A68" s="55">
        <v>49</v>
      </c>
      <c r="B68" s="35"/>
      <c r="C68" s="35"/>
      <c r="D68" s="35"/>
      <c r="E68" s="35"/>
    </row>
    <row r="69" spans="1:5">
      <c r="A69" s="33">
        <v>50</v>
      </c>
      <c r="B69" s="59"/>
      <c r="C69" s="35"/>
      <c r="D69" s="35"/>
      <c r="E69" s="35"/>
    </row>
  </sheetData>
  <mergeCells count="1">
    <mergeCell ref="A18:D18"/>
  </mergeCells>
  <hyperlinks>
    <hyperlink ref="E18" r:id="rId1" display="https://drive.google.com/your-link-here" xr:uid="{F99A91F3-7A81-41F1-A0AD-4DBDE7FA1A29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tabSelected="1" topLeftCell="A22" zoomScaleNormal="100" workbookViewId="0">
      <selection activeCell="G36" sqref="G36"/>
    </sheetView>
  </sheetViews>
  <sheetFormatPr defaultColWidth="8.7109375" defaultRowHeight="15"/>
  <cols>
    <col min="1" max="1" width="31.28515625" style="19" bestFit="1" customWidth="1"/>
    <col min="2" max="11" width="15" style="19" customWidth="1"/>
    <col min="12" max="16384" width="8.7109375" style="19"/>
  </cols>
  <sheetData>
    <row r="1" spans="1:11" ht="30.75">
      <c r="A1" s="105" t="s">
        <v>0</v>
      </c>
      <c r="B1" s="68" t="s">
        <v>69</v>
      </c>
      <c r="C1" s="68" t="s">
        <v>70</v>
      </c>
      <c r="D1" s="4" t="s">
        <v>71</v>
      </c>
      <c r="E1" s="4" t="s">
        <v>72</v>
      </c>
      <c r="F1" s="4" t="s">
        <v>73</v>
      </c>
      <c r="G1" s="4"/>
      <c r="H1" s="4"/>
      <c r="I1" s="4"/>
      <c r="J1" s="4"/>
      <c r="K1" s="4"/>
    </row>
    <row r="2" spans="1:11">
      <c r="A2" s="105"/>
      <c r="B2" s="8">
        <v>46260</v>
      </c>
      <c r="C2" s="8">
        <v>46269</v>
      </c>
      <c r="D2" s="8">
        <v>46270</v>
      </c>
      <c r="E2" s="8">
        <v>46271</v>
      </c>
      <c r="F2" s="8"/>
      <c r="G2" s="8"/>
      <c r="H2" s="8"/>
      <c r="I2" s="8"/>
      <c r="J2" s="8"/>
      <c r="K2" s="8"/>
    </row>
    <row r="3" spans="1:11" ht="17.25">
      <c r="A3" s="12" t="s">
        <v>2</v>
      </c>
      <c r="B3" s="65">
        <v>50</v>
      </c>
      <c r="C3" s="66">
        <v>150</v>
      </c>
      <c r="D3" s="67">
        <v>150</v>
      </c>
      <c r="E3" s="9"/>
      <c r="F3" s="9"/>
      <c r="G3" s="9"/>
      <c r="H3" s="9"/>
      <c r="I3" s="9"/>
      <c r="J3" s="9"/>
      <c r="K3" s="9"/>
    </row>
    <row r="4" spans="1:11">
      <c r="A4" s="13" t="s">
        <v>3</v>
      </c>
      <c r="B4" s="61">
        <v>50</v>
      </c>
      <c r="C4" s="61">
        <v>150</v>
      </c>
      <c r="D4" s="61">
        <v>150</v>
      </c>
      <c r="E4" s="61">
        <v>350</v>
      </c>
      <c r="F4" s="9">
        <v>20</v>
      </c>
      <c r="G4" s="9"/>
      <c r="H4" s="9"/>
      <c r="I4" s="9"/>
      <c r="J4" s="9"/>
      <c r="K4" s="9"/>
    </row>
    <row r="5" spans="1:11" ht="17.25">
      <c r="A5" s="12" t="s">
        <v>4</v>
      </c>
      <c r="B5" s="9">
        <v>50</v>
      </c>
      <c r="C5" s="9">
        <v>150</v>
      </c>
      <c r="D5" s="9">
        <v>150</v>
      </c>
      <c r="E5" s="9">
        <v>350</v>
      </c>
      <c r="F5" s="9"/>
      <c r="G5" s="9"/>
      <c r="H5" s="9"/>
      <c r="I5" s="9"/>
      <c r="J5" s="9"/>
      <c r="K5" s="9"/>
    </row>
    <row r="6" spans="1:11" ht="17.25">
      <c r="A6" s="12" t="s">
        <v>5</v>
      </c>
      <c r="B6" s="9">
        <v>50</v>
      </c>
      <c r="C6" s="9">
        <v>150</v>
      </c>
      <c r="D6" s="9">
        <v>150</v>
      </c>
      <c r="E6" s="9"/>
      <c r="F6" s="9"/>
      <c r="G6" s="9"/>
      <c r="H6" s="9"/>
      <c r="I6" s="9"/>
      <c r="J6" s="9"/>
      <c r="K6" s="9"/>
    </row>
    <row r="7" spans="1:11">
      <c r="A7" s="13" t="s">
        <v>6</v>
      </c>
      <c r="B7" s="9">
        <v>50</v>
      </c>
      <c r="C7" s="9">
        <v>150</v>
      </c>
      <c r="D7" s="9">
        <v>150</v>
      </c>
      <c r="E7" s="9">
        <v>350</v>
      </c>
      <c r="F7" s="9">
        <v>20</v>
      </c>
      <c r="G7" s="9"/>
      <c r="H7" s="9"/>
      <c r="I7" s="9"/>
      <c r="J7" s="9"/>
      <c r="K7" s="9"/>
    </row>
    <row r="8" spans="1:11" ht="17.25">
      <c r="A8" s="12" t="s">
        <v>7</v>
      </c>
      <c r="B8" s="9">
        <v>50</v>
      </c>
      <c r="C8" s="9">
        <v>150</v>
      </c>
      <c r="D8" s="9">
        <v>150</v>
      </c>
      <c r="E8" s="9">
        <v>700</v>
      </c>
      <c r="F8" s="9">
        <v>20</v>
      </c>
      <c r="G8" s="9"/>
      <c r="H8" s="9"/>
      <c r="I8" s="9"/>
      <c r="J8" s="9"/>
      <c r="K8" s="9"/>
    </row>
    <row r="9" spans="1:11">
      <c r="A9" s="13" t="s">
        <v>8</v>
      </c>
      <c r="B9" s="61">
        <v>50</v>
      </c>
      <c r="C9" s="61">
        <v>150</v>
      </c>
      <c r="D9" s="61">
        <v>150</v>
      </c>
      <c r="E9" s="61">
        <v>350</v>
      </c>
      <c r="F9" s="9">
        <v>20</v>
      </c>
      <c r="G9" s="9"/>
      <c r="H9" s="9"/>
      <c r="I9" s="9"/>
      <c r="J9" s="9"/>
      <c r="K9" s="9"/>
    </row>
    <row r="10" spans="1:11" ht="17.25">
      <c r="A10" s="12" t="s">
        <v>9</v>
      </c>
      <c r="B10" s="9">
        <v>50</v>
      </c>
      <c r="C10" s="9">
        <v>150</v>
      </c>
      <c r="D10" s="9">
        <v>150</v>
      </c>
      <c r="E10" s="9"/>
      <c r="F10" s="9">
        <v>20</v>
      </c>
      <c r="G10" s="9"/>
      <c r="H10" s="9"/>
      <c r="I10" s="9"/>
      <c r="J10" s="9"/>
      <c r="K10" s="9"/>
    </row>
    <row r="11" spans="1:11" ht="17.25">
      <c r="A11" s="12" t="s">
        <v>10</v>
      </c>
      <c r="B11" s="9">
        <v>50</v>
      </c>
      <c r="C11" s="9">
        <v>150</v>
      </c>
      <c r="D11" s="9">
        <v>150</v>
      </c>
      <c r="E11" s="9"/>
      <c r="F11" s="9">
        <v>20</v>
      </c>
      <c r="G11" s="9"/>
      <c r="H11" s="9"/>
      <c r="I11" s="9"/>
      <c r="J11" s="9"/>
      <c r="K11" s="9"/>
    </row>
    <row r="12" spans="1:11" ht="17.25">
      <c r="A12" s="12" t="s">
        <v>11</v>
      </c>
      <c r="B12" s="9">
        <v>50</v>
      </c>
      <c r="C12" s="9">
        <v>150</v>
      </c>
      <c r="D12" s="9">
        <v>150</v>
      </c>
      <c r="E12" s="9"/>
      <c r="F12" s="9"/>
      <c r="G12" s="9"/>
      <c r="H12" s="9"/>
      <c r="I12" s="9"/>
      <c r="J12" s="9"/>
      <c r="K12" s="9"/>
    </row>
    <row r="13" spans="1:11" ht="17.25">
      <c r="A13" s="12" t="s">
        <v>12</v>
      </c>
      <c r="B13" s="9">
        <v>50</v>
      </c>
      <c r="C13" s="9">
        <v>150</v>
      </c>
      <c r="D13" s="9">
        <v>150</v>
      </c>
      <c r="E13" s="9"/>
      <c r="F13" s="9"/>
      <c r="G13" s="9"/>
      <c r="H13" s="9"/>
      <c r="I13" s="9"/>
      <c r="J13" s="9"/>
      <c r="K13" s="9"/>
    </row>
    <row r="14" spans="1:11" ht="17.25">
      <c r="A14" s="12" t="s">
        <v>13</v>
      </c>
      <c r="B14" s="9">
        <v>50</v>
      </c>
      <c r="C14" s="9">
        <v>150</v>
      </c>
      <c r="D14" s="9">
        <v>150</v>
      </c>
      <c r="E14" s="9"/>
      <c r="F14" s="9">
        <v>20</v>
      </c>
      <c r="G14" s="9"/>
      <c r="H14" s="9"/>
      <c r="I14" s="9"/>
      <c r="J14" s="9"/>
      <c r="K14" s="9"/>
    </row>
    <row r="15" spans="1:11">
      <c r="A15" s="13" t="s">
        <v>14</v>
      </c>
      <c r="B15" s="61">
        <v>50</v>
      </c>
      <c r="C15" s="61">
        <v>150</v>
      </c>
      <c r="D15" s="61">
        <v>150</v>
      </c>
      <c r="E15" s="61">
        <v>350</v>
      </c>
      <c r="F15" s="9"/>
      <c r="G15" s="9"/>
      <c r="H15" s="9"/>
      <c r="I15" s="9"/>
      <c r="J15" s="9"/>
      <c r="K15" s="9"/>
    </row>
    <row r="16" spans="1:11">
      <c r="A16" s="13" t="s">
        <v>15</v>
      </c>
      <c r="B16" s="61">
        <v>50</v>
      </c>
      <c r="C16" s="61">
        <v>150</v>
      </c>
      <c r="D16" s="61">
        <v>150</v>
      </c>
      <c r="E16" s="61">
        <v>350</v>
      </c>
      <c r="F16" s="9"/>
      <c r="G16" s="9"/>
      <c r="H16" s="9"/>
      <c r="I16" s="9"/>
      <c r="J16" s="9"/>
      <c r="K16" s="9"/>
    </row>
    <row r="17" spans="1:11" ht="17.25">
      <c r="A17" s="12" t="s">
        <v>16</v>
      </c>
      <c r="B17" s="9">
        <v>50</v>
      </c>
      <c r="C17" s="9">
        <v>150</v>
      </c>
      <c r="D17" s="9">
        <v>150</v>
      </c>
      <c r="E17" s="9"/>
      <c r="F17" s="9">
        <v>20</v>
      </c>
      <c r="G17" s="9"/>
      <c r="H17" s="9"/>
      <c r="I17" s="9"/>
      <c r="J17" s="9"/>
      <c r="K17" s="9"/>
    </row>
    <row r="18" spans="1:11">
      <c r="A18" s="13" t="s">
        <v>17</v>
      </c>
      <c r="B18" s="61">
        <v>50</v>
      </c>
      <c r="C18" s="61">
        <v>150</v>
      </c>
      <c r="D18" s="61">
        <v>150</v>
      </c>
      <c r="E18" s="61">
        <v>350</v>
      </c>
      <c r="F18" s="9"/>
      <c r="G18" s="9"/>
      <c r="H18" s="9"/>
      <c r="I18" s="9"/>
      <c r="J18" s="9"/>
      <c r="K18" s="9"/>
    </row>
    <row r="19" spans="1:11" ht="17.25">
      <c r="A19" s="12" t="s">
        <v>18</v>
      </c>
      <c r="B19" s="9">
        <v>50</v>
      </c>
      <c r="C19" s="9">
        <v>150</v>
      </c>
      <c r="D19" s="9">
        <v>150</v>
      </c>
      <c r="E19" s="9"/>
      <c r="F19" s="9"/>
      <c r="G19" s="9"/>
      <c r="H19" s="9"/>
      <c r="I19" s="9"/>
      <c r="J19" s="9"/>
      <c r="K19" s="9"/>
    </row>
    <row r="20" spans="1:11" ht="17.25">
      <c r="A20" s="12" t="s">
        <v>19</v>
      </c>
      <c r="B20" s="9">
        <v>50</v>
      </c>
      <c r="C20" s="9">
        <v>150</v>
      </c>
      <c r="D20" s="9">
        <v>150</v>
      </c>
      <c r="E20" s="9"/>
      <c r="F20" s="9"/>
      <c r="G20" s="9"/>
      <c r="H20" s="9"/>
      <c r="I20" s="9"/>
      <c r="J20" s="9"/>
      <c r="K20" s="9"/>
    </row>
    <row r="21" spans="1:11" ht="17.25">
      <c r="A21" s="12" t="s">
        <v>20</v>
      </c>
      <c r="B21" s="9">
        <v>50</v>
      </c>
      <c r="C21" s="9">
        <v>150</v>
      </c>
      <c r="D21" s="9">
        <v>150</v>
      </c>
      <c r="E21" s="9"/>
      <c r="F21" s="9"/>
      <c r="G21" s="9"/>
      <c r="H21" s="9"/>
      <c r="I21" s="9"/>
      <c r="J21" s="9"/>
      <c r="K21" s="9"/>
    </row>
    <row r="22" spans="1:11" ht="17.25">
      <c r="A22" s="12" t="s">
        <v>21</v>
      </c>
      <c r="B22" s="9">
        <v>50</v>
      </c>
      <c r="C22" s="9">
        <v>150</v>
      </c>
      <c r="D22" s="9">
        <v>150</v>
      </c>
      <c r="E22" s="9"/>
      <c r="F22" s="9">
        <v>20</v>
      </c>
      <c r="G22" s="9"/>
      <c r="H22" s="9"/>
      <c r="I22" s="9"/>
      <c r="J22" s="9"/>
      <c r="K22" s="9"/>
    </row>
    <row r="23" spans="1:11" ht="17.25">
      <c r="A23" s="12" t="s">
        <v>22</v>
      </c>
      <c r="B23" s="9">
        <v>50</v>
      </c>
      <c r="C23" s="9">
        <v>150</v>
      </c>
      <c r="D23" s="9">
        <v>150</v>
      </c>
      <c r="E23" s="9"/>
      <c r="F23" s="9"/>
      <c r="G23" s="9"/>
      <c r="H23" s="9"/>
      <c r="I23" s="9"/>
      <c r="J23" s="9"/>
      <c r="K23" s="9"/>
    </row>
    <row r="24" spans="1:11" ht="17.25">
      <c r="A24" s="12" t="s">
        <v>23</v>
      </c>
      <c r="B24" s="9">
        <v>50</v>
      </c>
      <c r="C24" s="9">
        <v>150</v>
      </c>
      <c r="D24" s="9">
        <v>150</v>
      </c>
      <c r="E24" s="9"/>
      <c r="F24" s="9"/>
      <c r="G24" s="9"/>
      <c r="H24" s="9"/>
      <c r="I24" s="9"/>
      <c r="J24" s="9"/>
      <c r="K24" s="9"/>
    </row>
    <row r="25" spans="1:11">
      <c r="A25" s="13" t="s">
        <v>24</v>
      </c>
      <c r="B25" s="61">
        <v>50</v>
      </c>
      <c r="C25" s="61">
        <v>150</v>
      </c>
      <c r="D25" s="61">
        <v>150</v>
      </c>
      <c r="E25" s="61">
        <v>350</v>
      </c>
      <c r="F25" s="9"/>
      <c r="G25" s="9"/>
      <c r="H25" s="9"/>
      <c r="I25" s="9"/>
      <c r="J25" s="9"/>
      <c r="K25" s="9"/>
    </row>
    <row r="26" spans="1:11" ht="17.25">
      <c r="A26" s="12" t="s">
        <v>25</v>
      </c>
      <c r="B26" s="9">
        <v>50</v>
      </c>
      <c r="C26" s="9">
        <v>150</v>
      </c>
      <c r="D26" s="9">
        <v>150</v>
      </c>
      <c r="E26" s="9"/>
      <c r="F26" s="9">
        <v>20</v>
      </c>
      <c r="G26" s="9"/>
      <c r="H26" s="9"/>
      <c r="I26" s="9"/>
      <c r="J26" s="9"/>
      <c r="K26" s="9"/>
    </row>
    <row r="27" spans="1:11">
      <c r="A27" s="13" t="s">
        <v>26</v>
      </c>
      <c r="B27" s="61">
        <v>50</v>
      </c>
      <c r="C27" s="61">
        <v>150</v>
      </c>
      <c r="D27" s="61">
        <v>150</v>
      </c>
      <c r="E27" s="61">
        <v>350</v>
      </c>
      <c r="F27" s="9"/>
      <c r="G27" s="9"/>
      <c r="H27" s="9"/>
      <c r="I27" s="9"/>
      <c r="J27" s="9"/>
      <c r="K27" s="9"/>
    </row>
    <row r="28" spans="1:11">
      <c r="A28" s="13" t="s">
        <v>27</v>
      </c>
      <c r="B28" s="61">
        <v>50</v>
      </c>
      <c r="C28" s="61">
        <v>150</v>
      </c>
      <c r="D28" s="61">
        <v>150</v>
      </c>
      <c r="E28" s="61">
        <v>350</v>
      </c>
      <c r="F28" s="9"/>
      <c r="G28" s="9"/>
      <c r="H28" s="9"/>
      <c r="I28" s="9"/>
      <c r="J28" s="9"/>
      <c r="K28" s="9"/>
    </row>
    <row r="29" spans="1:11" ht="17.25">
      <c r="A29" s="12" t="s">
        <v>28</v>
      </c>
      <c r="B29" s="9">
        <v>50</v>
      </c>
      <c r="C29" s="9">
        <v>150</v>
      </c>
      <c r="D29" s="9">
        <v>150</v>
      </c>
      <c r="E29" s="9"/>
      <c r="F29" s="9"/>
      <c r="G29" s="9"/>
      <c r="H29" s="9"/>
      <c r="I29" s="9"/>
      <c r="J29" s="9"/>
      <c r="K29" s="9"/>
    </row>
    <row r="30" spans="1:11" ht="17.25">
      <c r="A30" s="12" t="s">
        <v>29</v>
      </c>
      <c r="B30" s="9">
        <v>50</v>
      </c>
      <c r="C30" s="9">
        <v>150</v>
      </c>
      <c r="D30" s="9">
        <v>150</v>
      </c>
      <c r="E30" s="9"/>
      <c r="F30" s="9"/>
      <c r="G30" s="9"/>
      <c r="H30" s="9"/>
      <c r="I30" s="9"/>
      <c r="J30" s="9"/>
      <c r="K30" s="9"/>
    </row>
    <row r="31" spans="1:11" ht="17.25">
      <c r="A31" s="12" t="s">
        <v>30</v>
      </c>
      <c r="B31" s="9">
        <v>50</v>
      </c>
      <c r="C31" s="9">
        <v>150</v>
      </c>
      <c r="D31" s="9">
        <v>150</v>
      </c>
      <c r="E31" s="9"/>
      <c r="F31" s="9">
        <v>20</v>
      </c>
      <c r="G31" s="9"/>
      <c r="H31" s="9"/>
      <c r="I31" s="9"/>
      <c r="J31" s="9"/>
      <c r="K31" s="9"/>
    </row>
    <row r="32" spans="1:11" ht="17.25">
      <c r="A32" s="12" t="s">
        <v>31</v>
      </c>
      <c r="B32" s="9">
        <v>50</v>
      </c>
      <c r="C32" s="9">
        <v>150</v>
      </c>
      <c r="D32" s="9">
        <v>150</v>
      </c>
      <c r="E32" s="9">
        <v>350</v>
      </c>
      <c r="F32" s="9"/>
      <c r="G32" s="9"/>
      <c r="H32" s="9"/>
      <c r="I32" s="9"/>
      <c r="J32" s="9"/>
      <c r="K32" s="9"/>
    </row>
    <row r="33" spans="1:11" ht="17.25">
      <c r="A33" s="12" t="s">
        <v>32</v>
      </c>
      <c r="B33" s="9">
        <v>50</v>
      </c>
      <c r="C33" s="9">
        <v>150</v>
      </c>
      <c r="D33" s="9">
        <v>150</v>
      </c>
      <c r="E33" s="9"/>
      <c r="F33" s="9"/>
      <c r="G33" s="9"/>
      <c r="H33" s="9"/>
      <c r="I33" s="9"/>
      <c r="J33" s="9"/>
      <c r="K33" s="9"/>
    </row>
    <row r="34" spans="1:11" ht="17.25">
      <c r="A34" s="12" t="s">
        <v>33</v>
      </c>
      <c r="B34" s="9">
        <v>50</v>
      </c>
      <c r="C34" s="9">
        <v>150</v>
      </c>
      <c r="D34" s="9">
        <v>150</v>
      </c>
      <c r="E34" s="9"/>
      <c r="F34" s="9">
        <v>50</v>
      </c>
      <c r="G34" s="9"/>
      <c r="H34" s="9"/>
      <c r="I34" s="9"/>
      <c r="J34" s="9"/>
      <c r="K34" s="9"/>
    </row>
    <row r="35" spans="1:11" ht="17.25">
      <c r="A35" s="12" t="s">
        <v>34</v>
      </c>
      <c r="B35" s="9">
        <v>50</v>
      </c>
      <c r="C35" s="9">
        <v>150</v>
      </c>
      <c r="D35" s="9">
        <v>150</v>
      </c>
      <c r="E35" s="9"/>
      <c r="F35" s="9">
        <v>20</v>
      </c>
      <c r="G35" s="9"/>
      <c r="H35" s="9"/>
      <c r="I35" s="9"/>
      <c r="J35" s="9"/>
      <c r="K35" s="9"/>
    </row>
    <row r="36" spans="1:11">
      <c r="A36" s="13" t="s">
        <v>35</v>
      </c>
      <c r="B36" s="61">
        <v>50</v>
      </c>
      <c r="C36" s="61">
        <v>150</v>
      </c>
      <c r="D36" s="61">
        <v>150</v>
      </c>
      <c r="E36" s="61">
        <v>350</v>
      </c>
      <c r="F36" s="9">
        <v>20</v>
      </c>
      <c r="G36" s="9"/>
      <c r="H36" s="9"/>
      <c r="I36" s="9"/>
      <c r="J36" s="9"/>
      <c r="K36" s="9"/>
    </row>
    <row r="37" spans="1:11" ht="17.25">
      <c r="A37" s="12" t="s">
        <v>36</v>
      </c>
      <c r="B37" s="9">
        <v>50</v>
      </c>
      <c r="C37" s="9">
        <v>150</v>
      </c>
      <c r="D37" s="9">
        <v>150</v>
      </c>
      <c r="E37" s="9"/>
      <c r="F37" s="9"/>
      <c r="G37" s="9"/>
      <c r="H37" s="9"/>
      <c r="I37" s="9"/>
      <c r="J37" s="9"/>
      <c r="K37" s="9"/>
    </row>
    <row r="38" spans="1:11">
      <c r="A38" s="13" t="s">
        <v>37</v>
      </c>
      <c r="B38" s="61">
        <v>50</v>
      </c>
      <c r="C38" s="61">
        <v>150</v>
      </c>
      <c r="D38" s="61">
        <v>150</v>
      </c>
      <c r="E38" s="61">
        <v>350</v>
      </c>
      <c r="F38" s="9">
        <v>20</v>
      </c>
      <c r="G38" s="9"/>
      <c r="H38" s="9"/>
      <c r="I38" s="9"/>
      <c r="J38" s="9"/>
      <c r="K38" s="9"/>
    </row>
    <row r="39" spans="1:11" ht="17.25">
      <c r="A39" s="12" t="s">
        <v>38</v>
      </c>
      <c r="B39" s="9">
        <v>50</v>
      </c>
      <c r="C39" s="9">
        <v>150</v>
      </c>
      <c r="D39" s="9">
        <v>150</v>
      </c>
      <c r="E39" s="9">
        <v>350</v>
      </c>
      <c r="F39" s="9">
        <v>20</v>
      </c>
      <c r="G39" s="9"/>
      <c r="H39" s="9"/>
      <c r="I39" s="9"/>
      <c r="J39" s="9"/>
      <c r="K39" s="9"/>
    </row>
    <row r="40" spans="1:11" ht="17.25">
      <c r="A40" s="12" t="s">
        <v>39</v>
      </c>
      <c r="B40" s="9">
        <v>50</v>
      </c>
      <c r="C40" s="9">
        <v>150</v>
      </c>
      <c r="D40" s="9">
        <v>150</v>
      </c>
      <c r="E40" s="9"/>
      <c r="F40" s="9">
        <v>20</v>
      </c>
      <c r="G40" s="9"/>
      <c r="H40" s="9"/>
      <c r="I40" s="9"/>
      <c r="J40" s="9"/>
      <c r="K40" s="9"/>
    </row>
    <row r="41" spans="1:11" ht="17.25">
      <c r="A41" s="62" t="s">
        <v>40</v>
      </c>
      <c r="B41" s="9">
        <v>50</v>
      </c>
      <c r="C41" s="9">
        <v>150</v>
      </c>
      <c r="D41" s="9">
        <v>150</v>
      </c>
      <c r="E41" s="50"/>
      <c r="F41" s="50"/>
      <c r="G41" s="50"/>
      <c r="H41" s="50"/>
      <c r="I41" s="50"/>
      <c r="J41" s="50"/>
      <c r="K41" s="50"/>
    </row>
    <row r="42" spans="1:11">
      <c r="A42" s="60" t="s">
        <v>41</v>
      </c>
      <c r="B42" s="61">
        <v>50</v>
      </c>
      <c r="C42" s="61">
        <v>150</v>
      </c>
      <c r="D42" s="61">
        <v>150</v>
      </c>
      <c r="E42" s="61">
        <v>350</v>
      </c>
      <c r="F42" s="61"/>
      <c r="G42" s="61"/>
      <c r="H42" s="61"/>
      <c r="I42" s="61"/>
      <c r="J42" s="61"/>
      <c r="K42" s="61"/>
    </row>
    <row r="43" spans="1:11">
      <c r="A43" s="71" t="s">
        <v>74</v>
      </c>
      <c r="B43" s="72">
        <v>50</v>
      </c>
      <c r="C43" s="73">
        <v>150</v>
      </c>
      <c r="D43" s="73">
        <v>150</v>
      </c>
      <c r="E43" s="73">
        <v>350</v>
      </c>
      <c r="F43" s="61"/>
      <c r="G43" s="61"/>
      <c r="H43" s="61"/>
      <c r="I43" s="61"/>
      <c r="J43" s="61"/>
      <c r="K43" s="61"/>
    </row>
    <row r="44" spans="1:11">
      <c r="A44" s="45" t="s">
        <v>43</v>
      </c>
      <c r="B44" s="63">
        <f>SUM(B3:B43)</f>
        <v>2050</v>
      </c>
      <c r="C44" s="49">
        <f t="shared" ref="C44:E44" si="0">SUM(C3:C43)</f>
        <v>6150</v>
      </c>
      <c r="D44" s="49">
        <f t="shared" si="0"/>
        <v>6150</v>
      </c>
      <c r="E44" s="49">
        <f t="shared" si="0"/>
        <v>6300</v>
      </c>
      <c r="F44" s="70">
        <f>SUM(F3:F42)</f>
        <v>370</v>
      </c>
      <c r="G44" s="64">
        <f>SUM(G3:G42)</f>
        <v>0</v>
      </c>
      <c r="H44" s="64">
        <f>SUM(H3:H42)</f>
        <v>0</v>
      </c>
      <c r="I44" s="64">
        <f>SUM(I3:I42)</f>
        <v>0</v>
      </c>
      <c r="J44" s="64">
        <f>SUM(J3:J42)</f>
        <v>0</v>
      </c>
      <c r="K44" s="64">
        <f>SUM(K3:K42)</f>
        <v>0</v>
      </c>
    </row>
    <row r="45" spans="1:11" ht="23.25">
      <c r="A45" s="48" t="s">
        <v>44</v>
      </c>
      <c r="B45" s="76">
        <f>LOOKUP(9.99E+307, 'Event Balance Sheet'!E2:E11)</f>
        <v>370</v>
      </c>
    </row>
    <row r="47" spans="1:11" ht="15" customHeight="1">
      <c r="A47" s="83"/>
      <c r="B47" s="83"/>
      <c r="C47" s="83"/>
      <c r="D47" s="83"/>
      <c r="E47" s="83"/>
      <c r="F47" s="83"/>
    </row>
    <row r="48" spans="1:11" ht="22.35" customHeight="1">
      <c r="A48" s="84"/>
      <c r="B48" s="84"/>
      <c r="C48" s="84"/>
      <c r="D48" s="84"/>
      <c r="E48" s="84"/>
      <c r="F48" s="84"/>
    </row>
    <row r="49" spans="1:6" ht="15" customHeight="1">
      <c r="A49" s="84"/>
      <c r="B49" s="84"/>
      <c r="C49" s="84"/>
      <c r="D49" s="84"/>
      <c r="E49" s="84"/>
      <c r="F49" s="84"/>
    </row>
    <row r="50" spans="1:6" ht="22.35" customHeight="1">
      <c r="A50" s="84"/>
      <c r="B50" s="84"/>
      <c r="C50" s="84"/>
      <c r="D50" s="84"/>
      <c r="E50" s="84"/>
      <c r="F50" s="84"/>
    </row>
    <row r="51" spans="1:6" ht="15" customHeight="1">
      <c r="A51" s="84"/>
      <c r="B51" s="84"/>
      <c r="C51" s="84"/>
      <c r="D51" s="84"/>
      <c r="E51" s="84"/>
      <c r="F51" s="84"/>
    </row>
  </sheetData>
  <mergeCells count="1">
    <mergeCell ref="A1:A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zoomScaleNormal="100" workbookViewId="0">
      <selection activeCell="F12" sqref="F12"/>
    </sheetView>
  </sheetViews>
  <sheetFormatPr defaultColWidth="8.7109375" defaultRowHeight="15"/>
  <cols>
    <col min="1" max="1" width="26" style="21" customWidth="1"/>
    <col min="2" max="4" width="14" style="21" customWidth="1"/>
    <col min="5" max="5" width="16" style="21" customWidth="1"/>
    <col min="6" max="6" width="32" style="21" customWidth="1"/>
    <col min="7" max="16384" width="8.7109375" style="21"/>
  </cols>
  <sheetData>
    <row r="1" spans="1:6">
      <c r="A1" s="4" t="s">
        <v>75</v>
      </c>
      <c r="B1" s="4" t="s">
        <v>1</v>
      </c>
      <c r="C1" s="4" t="s">
        <v>45</v>
      </c>
      <c r="D1" s="4" t="s">
        <v>46</v>
      </c>
      <c r="E1" s="4" t="s">
        <v>43</v>
      </c>
    </row>
    <row r="2" spans="1:6">
      <c r="A2" s="22" t="str">
        <f>IF(Events!B1="","",Events!B1)</f>
        <v>PSPO</v>
      </c>
      <c r="B2" s="6">
        <f>IF(Events!B2="","",Events!B2)</f>
        <v>46260</v>
      </c>
      <c r="C2" s="23">
        <f>Events!B44</f>
        <v>2050</v>
      </c>
      <c r="D2" s="24">
        <f>SUMIFS($E$15:$E$44,$D$15:$D$44,"="&amp;B2)</f>
        <v>2050</v>
      </c>
      <c r="E2" s="75">
        <f>C2-D2</f>
        <v>0</v>
      </c>
    </row>
    <row r="3" spans="1:6">
      <c r="A3" s="22" t="str">
        <f>IF(Events!C1="","",Events!C1)</f>
        <v>General Assembly</v>
      </c>
      <c r="B3" s="6">
        <f>IF(Events!C2="","",Events!C2)</f>
        <v>46269</v>
      </c>
      <c r="C3" s="23">
        <f>Events!C44</f>
        <v>6150</v>
      </c>
      <c r="D3" s="24">
        <f>SUMIFS($E$15:$E$44,$D$15:$D$44,"="&amp;B3)</f>
        <v>6150</v>
      </c>
      <c r="E3" s="75">
        <f>IF(A3="", "", E2+C3-D3)</f>
        <v>0</v>
      </c>
    </row>
    <row r="4" spans="1:6">
      <c r="A4" s="22" t="str">
        <f>IF(Events!D1="","",Events!D1)</f>
        <v>Prof Polo</v>
      </c>
      <c r="B4" s="6">
        <f>IF(Events!D2="","",Events!D2)</f>
        <v>46270</v>
      </c>
      <c r="C4" s="23">
        <f>Events!D44</f>
        <v>6150</v>
      </c>
      <c r="D4" s="24">
        <f>SUMIFS($E$15:$E$44,$D$15:$D$44,"="&amp;B4)</f>
        <v>6150</v>
      </c>
      <c r="E4" s="75">
        <f t="shared" ref="E4:E11" si="0">IF(A4="", "", E3+C4-D4)</f>
        <v>0</v>
      </c>
    </row>
    <row r="5" spans="1:6">
      <c r="A5" s="22" t="str">
        <f>IF(Events!E1="","",Events!E1)</f>
        <v>Polo Shirts</v>
      </c>
      <c r="B5" s="6">
        <f>IF(Events!E2="","",Events!E2)</f>
        <v>46271</v>
      </c>
      <c r="C5" s="23">
        <f>Events!E44</f>
        <v>6300</v>
      </c>
      <c r="D5" s="24">
        <f>SUMIFS($E$15:$E$44,$D$15:$D$44,"="&amp;B5)</f>
        <v>6300</v>
      </c>
      <c r="E5" s="75">
        <f t="shared" si="0"/>
        <v>0</v>
      </c>
    </row>
    <row r="6" spans="1:6">
      <c r="A6" s="22" t="str">
        <f>IF(Events!F1="","",Events!F1)</f>
        <v>Token (CLAC)</v>
      </c>
      <c r="B6" s="6" t="str">
        <f>IF(Events!F2="","",Events!F2)</f>
        <v/>
      </c>
      <c r="C6" s="23">
        <f>Events!F44</f>
        <v>370</v>
      </c>
      <c r="D6" s="24">
        <f>SUMIFS($E$15:$E$44,$D$15:$D$44,"="&amp;B6)</f>
        <v>0</v>
      </c>
      <c r="E6" s="75">
        <f t="shared" si="0"/>
        <v>370</v>
      </c>
    </row>
    <row r="7" spans="1:6">
      <c r="A7" s="22" t="str">
        <f>IF(Events!G1="","",Events!G1)</f>
        <v/>
      </c>
      <c r="B7" s="6" t="str">
        <f>IF(Events!G2="","",Events!G2)</f>
        <v/>
      </c>
      <c r="C7" s="23">
        <f>Events!G44</f>
        <v>0</v>
      </c>
      <c r="D7" s="24">
        <f>SUMIFS($E$15:$E$44,$D$15:$D$44,"="&amp;B7)</f>
        <v>0</v>
      </c>
      <c r="E7" s="75" t="str">
        <f t="shared" si="0"/>
        <v/>
      </c>
    </row>
    <row r="8" spans="1:6">
      <c r="A8" s="22" t="str">
        <f>IF(Events!H1="","",Events!H1)</f>
        <v/>
      </c>
      <c r="B8" s="6" t="str">
        <f>IF(Events!H2="","",Events!H2)</f>
        <v/>
      </c>
      <c r="C8" s="23">
        <f>Events!H44</f>
        <v>0</v>
      </c>
      <c r="D8" s="24">
        <f>SUMIFS($E$15:$E$44,$D$15:$D$44,"="&amp;B8)</f>
        <v>0</v>
      </c>
      <c r="E8" s="75" t="str">
        <f t="shared" si="0"/>
        <v/>
      </c>
    </row>
    <row r="9" spans="1:6">
      <c r="A9" s="22" t="str">
        <f>IF(Events!I1="","",Events!I1)</f>
        <v/>
      </c>
      <c r="B9" s="6" t="str">
        <f>IF(Events!I2="","",Events!I2)</f>
        <v/>
      </c>
      <c r="C9" s="23">
        <f>Events!I44</f>
        <v>0</v>
      </c>
      <c r="D9" s="24">
        <f>SUMIFS($E$15:$E$44,$D$15:$D$44,"="&amp;B9)</f>
        <v>0</v>
      </c>
      <c r="E9" s="75" t="str">
        <f t="shared" si="0"/>
        <v/>
      </c>
    </row>
    <row r="10" spans="1:6">
      <c r="A10" s="22" t="str">
        <f>IF(Events!J1="","",Events!J1)</f>
        <v/>
      </c>
      <c r="B10" s="6" t="str">
        <f>IF(Events!J2="","",Events!J2)</f>
        <v/>
      </c>
      <c r="C10" s="23">
        <f>Events!J44</f>
        <v>0</v>
      </c>
      <c r="D10" s="24">
        <f>SUMIFS($E$15:$E$44,$D$15:$D$44,"="&amp;B10)</f>
        <v>0</v>
      </c>
      <c r="E10" s="75" t="str">
        <f t="shared" si="0"/>
        <v/>
      </c>
    </row>
    <row r="11" spans="1:6">
      <c r="A11" s="22" t="str">
        <f>IF(Events!K1="","",Events!K1)</f>
        <v/>
      </c>
      <c r="B11" s="6" t="str">
        <f>IF(Events!K2="","",Events!K2)</f>
        <v/>
      </c>
      <c r="C11" s="23">
        <f>Events!K44</f>
        <v>0</v>
      </c>
      <c r="D11" s="24">
        <f>SUMIFS($E$15:$E$44,$D$15:$D$44,"="&amp;B11)</f>
        <v>0</v>
      </c>
      <c r="E11" s="75" t="str">
        <f t="shared" si="0"/>
        <v/>
      </c>
      <c r="F11" s="25"/>
    </row>
    <row r="13" spans="1:6">
      <c r="A13" s="109" t="s">
        <v>59</v>
      </c>
      <c r="B13" s="109"/>
      <c r="C13" s="109"/>
      <c r="D13" s="109"/>
      <c r="E13" s="109"/>
    </row>
    <row r="14" spans="1:6">
      <c r="A14" s="4" t="s">
        <v>60</v>
      </c>
      <c r="B14" s="4" t="s">
        <v>61</v>
      </c>
      <c r="C14" s="4" t="s">
        <v>75</v>
      </c>
      <c r="D14" s="4" t="s">
        <v>62</v>
      </c>
      <c r="E14" s="4" t="s">
        <v>63</v>
      </c>
      <c r="F14" s="104" t="str">
        <f>HYPERLINK("https://drive.google.com/your-link-here","Copy Paste Link")</f>
        <v>Copy Paste Link</v>
      </c>
    </row>
    <row r="15" spans="1:6">
      <c r="A15" s="5">
        <v>1</v>
      </c>
      <c r="B15" s="5" t="s">
        <v>76</v>
      </c>
      <c r="C15" s="5" t="s">
        <v>69</v>
      </c>
      <c r="D15" s="6">
        <v>46260</v>
      </c>
      <c r="E15" s="7">
        <v>2050</v>
      </c>
      <c r="F15" s="35" t="s">
        <v>64</v>
      </c>
    </row>
    <row r="16" spans="1:6" ht="30.75">
      <c r="A16" s="5">
        <v>2</v>
      </c>
      <c r="B16" s="5" t="s">
        <v>77</v>
      </c>
      <c r="C16" s="69" t="s">
        <v>70</v>
      </c>
      <c r="D16" s="6">
        <v>46269</v>
      </c>
      <c r="E16" s="7">
        <v>4550</v>
      </c>
      <c r="F16" s="35"/>
    </row>
    <row r="17" spans="1:6">
      <c r="A17" s="5">
        <v>3</v>
      </c>
      <c r="B17" s="92" t="s">
        <v>77</v>
      </c>
      <c r="C17" s="93" t="s">
        <v>78</v>
      </c>
      <c r="D17" s="94">
        <v>46270</v>
      </c>
      <c r="E17" s="7">
        <v>2700</v>
      </c>
      <c r="F17" s="35"/>
    </row>
    <row r="18" spans="1:6">
      <c r="A18" s="90">
        <v>4</v>
      </c>
      <c r="B18" s="88" t="s">
        <v>79</v>
      </c>
      <c r="C18" s="88" t="s">
        <v>78</v>
      </c>
      <c r="D18" s="89">
        <v>46270</v>
      </c>
      <c r="E18" s="91">
        <v>3450</v>
      </c>
      <c r="F18" s="35"/>
    </row>
    <row r="19" spans="1:6" ht="30.75">
      <c r="A19" s="5">
        <v>5</v>
      </c>
      <c r="B19" s="95" t="s">
        <v>80</v>
      </c>
      <c r="C19" s="96" t="s">
        <v>72</v>
      </c>
      <c r="D19" s="97">
        <v>46271</v>
      </c>
      <c r="E19" s="7">
        <v>6300</v>
      </c>
      <c r="F19" s="35"/>
    </row>
    <row r="20" spans="1:6" ht="30.75">
      <c r="A20" s="5">
        <v>6</v>
      </c>
      <c r="B20" s="5" t="s">
        <v>79</v>
      </c>
      <c r="C20" s="69" t="s">
        <v>70</v>
      </c>
      <c r="D20" s="6">
        <v>46269</v>
      </c>
      <c r="E20" s="7">
        <v>1600</v>
      </c>
      <c r="F20" s="35"/>
    </row>
    <row r="21" spans="1:6">
      <c r="A21" s="5">
        <v>7</v>
      </c>
      <c r="B21" s="5"/>
      <c r="C21" s="5"/>
      <c r="D21" s="6"/>
      <c r="E21" s="7"/>
      <c r="F21" s="35"/>
    </row>
    <row r="22" spans="1:6">
      <c r="A22" s="5">
        <v>8</v>
      </c>
      <c r="B22" s="5"/>
      <c r="C22" s="5"/>
      <c r="D22" s="6"/>
      <c r="E22" s="7"/>
      <c r="F22" s="35"/>
    </row>
    <row r="23" spans="1:6">
      <c r="A23" s="5">
        <v>9</v>
      </c>
      <c r="B23" s="5"/>
      <c r="C23" s="5"/>
      <c r="D23" s="6"/>
      <c r="E23" s="7"/>
      <c r="F23" s="59"/>
    </row>
    <row r="24" spans="1:6">
      <c r="A24" s="5">
        <v>10</v>
      </c>
      <c r="B24" s="5"/>
      <c r="C24" s="5"/>
      <c r="D24" s="6"/>
      <c r="E24" s="7"/>
      <c r="F24" s="35"/>
    </row>
    <row r="25" spans="1:6">
      <c r="A25" s="5">
        <v>11</v>
      </c>
      <c r="B25" s="5"/>
      <c r="C25" s="5"/>
      <c r="D25" s="6"/>
      <c r="E25" s="7"/>
      <c r="F25" s="35"/>
    </row>
    <row r="26" spans="1:6">
      <c r="A26" s="5">
        <v>12</v>
      </c>
      <c r="B26" s="5"/>
      <c r="C26" s="5"/>
      <c r="D26" s="6"/>
      <c r="E26" s="7"/>
      <c r="F26" s="35"/>
    </row>
    <row r="27" spans="1:6">
      <c r="A27" s="5">
        <v>13</v>
      </c>
      <c r="B27" s="5"/>
      <c r="C27" s="5"/>
      <c r="D27" s="6"/>
      <c r="E27" s="7"/>
      <c r="F27" s="35"/>
    </row>
    <row r="28" spans="1:6">
      <c r="A28" s="5">
        <v>14</v>
      </c>
      <c r="B28" s="5"/>
      <c r="C28" s="5"/>
      <c r="D28" s="6"/>
      <c r="E28" s="7"/>
      <c r="F28" s="35"/>
    </row>
    <row r="29" spans="1:6">
      <c r="A29" s="5">
        <v>15</v>
      </c>
      <c r="B29" s="5"/>
      <c r="C29" s="5"/>
      <c r="D29" s="6"/>
      <c r="E29" s="7"/>
      <c r="F29" s="35"/>
    </row>
    <row r="30" spans="1:6">
      <c r="A30" s="5">
        <v>16</v>
      </c>
      <c r="B30" s="5"/>
      <c r="C30" s="5"/>
      <c r="D30" s="6"/>
      <c r="E30" s="7"/>
      <c r="F30" s="35"/>
    </row>
    <row r="31" spans="1:6">
      <c r="A31" s="5">
        <v>17</v>
      </c>
      <c r="B31" s="5"/>
      <c r="C31" s="5"/>
      <c r="D31" s="6"/>
      <c r="E31" s="7"/>
      <c r="F31" s="35"/>
    </row>
    <row r="32" spans="1:6">
      <c r="A32" s="5">
        <v>18</v>
      </c>
      <c r="B32" s="5"/>
      <c r="C32" s="5"/>
      <c r="D32" s="6"/>
      <c r="E32" s="7"/>
      <c r="F32" s="35"/>
    </row>
    <row r="33" spans="1:6">
      <c r="A33" s="5">
        <v>19</v>
      </c>
      <c r="B33" s="5"/>
      <c r="C33" s="5"/>
      <c r="D33" s="6"/>
      <c r="E33" s="7"/>
      <c r="F33" s="35"/>
    </row>
    <row r="34" spans="1:6">
      <c r="A34" s="5">
        <v>20</v>
      </c>
      <c r="B34" s="5"/>
      <c r="C34" s="5"/>
      <c r="D34" s="6"/>
      <c r="E34" s="7"/>
      <c r="F34" s="35"/>
    </row>
    <row r="35" spans="1:6">
      <c r="A35" s="5">
        <v>21</v>
      </c>
      <c r="B35" s="5"/>
      <c r="C35" s="5"/>
      <c r="D35" s="6"/>
      <c r="E35" s="7"/>
      <c r="F35" s="35"/>
    </row>
    <row r="36" spans="1:6">
      <c r="A36" s="5">
        <v>22</v>
      </c>
      <c r="B36" s="5"/>
      <c r="C36" s="5"/>
      <c r="D36" s="6"/>
      <c r="E36" s="7"/>
      <c r="F36" s="35"/>
    </row>
    <row r="37" spans="1:6">
      <c r="A37" s="5">
        <v>23</v>
      </c>
      <c r="B37" s="5"/>
      <c r="C37" s="5"/>
      <c r="D37" s="6"/>
      <c r="E37" s="7"/>
      <c r="F37" s="35"/>
    </row>
    <row r="38" spans="1:6">
      <c r="A38" s="5">
        <v>24</v>
      </c>
      <c r="B38" s="5"/>
      <c r="C38" s="5"/>
      <c r="D38" s="6"/>
      <c r="E38" s="7"/>
      <c r="F38" s="35"/>
    </row>
    <row r="39" spans="1:6">
      <c r="A39" s="5">
        <v>25</v>
      </c>
      <c r="B39" s="5"/>
      <c r="C39" s="5"/>
      <c r="D39" s="6"/>
      <c r="E39" s="7"/>
      <c r="F39" s="35"/>
    </row>
    <row r="40" spans="1:6">
      <c r="A40" s="5">
        <v>26</v>
      </c>
      <c r="B40" s="5"/>
      <c r="C40" s="5"/>
      <c r="D40" s="6"/>
      <c r="E40" s="7"/>
      <c r="F40" s="35"/>
    </row>
    <row r="41" spans="1:6">
      <c r="A41" s="5">
        <v>27</v>
      </c>
      <c r="B41" s="5"/>
      <c r="C41" s="5"/>
      <c r="D41" s="6"/>
      <c r="E41" s="7"/>
      <c r="F41" s="35"/>
    </row>
    <row r="42" spans="1:6">
      <c r="A42" s="5">
        <v>28</v>
      </c>
      <c r="B42" s="5"/>
      <c r="C42" s="5"/>
      <c r="D42" s="6"/>
      <c r="E42" s="7"/>
      <c r="F42" s="35"/>
    </row>
    <row r="43" spans="1:6">
      <c r="A43" s="5">
        <v>29</v>
      </c>
      <c r="B43" s="5"/>
      <c r="C43" s="5"/>
      <c r="D43" s="6"/>
      <c r="E43" s="7"/>
      <c r="F43" s="58"/>
    </row>
    <row r="44" spans="1:6">
      <c r="A44" s="5">
        <v>30</v>
      </c>
      <c r="B44" s="5"/>
      <c r="C44" s="5"/>
      <c r="D44" s="6"/>
      <c r="E44" s="103"/>
      <c r="F44" s="35"/>
    </row>
    <row r="45" spans="1:6">
      <c r="F45" s="26"/>
    </row>
    <row r="46" spans="1:6" ht="15" customHeight="1">
      <c r="A46" s="110"/>
      <c r="B46" s="110"/>
      <c r="C46" s="110"/>
      <c r="D46" s="110"/>
      <c r="E46" s="110"/>
      <c r="F46" s="26"/>
    </row>
    <row r="47" spans="1:6" ht="15" customHeight="1">
      <c r="A47" s="108"/>
      <c r="B47" s="108"/>
      <c r="C47" s="108"/>
      <c r="D47" s="108"/>
      <c r="E47" s="108"/>
      <c r="F47" s="26"/>
    </row>
    <row r="48" spans="1:6" ht="15" customHeight="1">
      <c r="A48" s="108"/>
      <c r="B48" s="108"/>
      <c r="C48" s="108"/>
      <c r="D48" s="108"/>
      <c r="E48" s="108"/>
      <c r="F48" s="26"/>
    </row>
    <row r="49" spans="1:6" ht="22.35" customHeight="1">
      <c r="A49" s="108"/>
      <c r="B49" s="108"/>
      <c r="C49" s="108"/>
      <c r="D49" s="108"/>
      <c r="E49" s="108"/>
      <c r="F49" s="26"/>
    </row>
    <row r="50" spans="1:6" ht="22.35" customHeight="1">
      <c r="A50" s="108"/>
      <c r="B50" s="108"/>
      <c r="C50" s="108"/>
      <c r="D50" s="108"/>
      <c r="E50" s="108"/>
      <c r="F50" s="26"/>
    </row>
    <row r="51" spans="1:6" ht="15" customHeight="1">
      <c r="A51" s="108"/>
      <c r="B51" s="108"/>
      <c r="C51" s="108"/>
      <c r="D51" s="108"/>
      <c r="E51" s="108"/>
      <c r="F51" s="26"/>
    </row>
    <row r="52" spans="1:6">
      <c r="F52" s="26"/>
    </row>
    <row r="53" spans="1:6">
      <c r="F53" s="26"/>
    </row>
    <row r="54" spans="1:6">
      <c r="F54" s="26"/>
    </row>
    <row r="55" spans="1:6">
      <c r="F55" s="26"/>
    </row>
    <row r="56" spans="1:6">
      <c r="F56" s="26"/>
    </row>
    <row r="57" spans="1:6">
      <c r="F57" s="26"/>
    </row>
    <row r="58" spans="1:6">
      <c r="F58" s="26"/>
    </row>
    <row r="59" spans="1:6">
      <c r="F59" s="26"/>
    </row>
    <row r="60" spans="1:6">
      <c r="F60" s="26"/>
    </row>
    <row r="61" spans="1:6">
      <c r="F61" s="26"/>
    </row>
    <row r="62" spans="1:6">
      <c r="F62" s="26"/>
    </row>
    <row r="63" spans="1:6">
      <c r="F63" s="26"/>
    </row>
    <row r="64" spans="1:6">
      <c r="F64" s="26"/>
    </row>
    <row r="65" spans="6:6">
      <c r="F65" s="26"/>
    </row>
  </sheetData>
  <mergeCells count="7">
    <mergeCell ref="A50:E50"/>
    <mergeCell ref="A51:E51"/>
    <mergeCell ref="A13:E13"/>
    <mergeCell ref="A46:E46"/>
    <mergeCell ref="A47:E47"/>
    <mergeCell ref="A48:E48"/>
    <mergeCell ref="A49:E4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MA. KRYSS MAE CABALLERO</cp:lastModifiedBy>
  <cp:revision>0</cp:revision>
  <dcterms:created xsi:type="dcterms:W3CDTF">2026-09-10T06:35:28Z</dcterms:created>
  <dcterms:modified xsi:type="dcterms:W3CDTF">2026-09-17T00:44:59Z</dcterms:modified>
  <cp:category/>
  <cp:contentStatus/>
</cp:coreProperties>
</file>